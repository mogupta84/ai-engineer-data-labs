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Day-by-day plan" sheetId="2" r:id="rId6"/>
    <sheet state="visible" name="Lab catalogue" sheetId="3" r:id="rId7"/>
    <sheet state="visible" name="Assignments" sheetId="4" r:id="rId8"/>
    <sheet state="visible" name="Case studies" sheetId="5" r:id="rId9"/>
    <sheet state="visible" name="How we check learning" sheetId="6" r:id="rId10"/>
    <sheet state="visible" name="Pre-reads" sheetId="7" r:id="rId11"/>
    <sheet state="visible" name="Lab data and tools" sheetId="8" r:id="rId12"/>
  </sheets>
  <definedNames/>
  <calcPr/>
</workbook>
</file>

<file path=xl/sharedStrings.xml><?xml version="1.0" encoding="utf-8"?>
<sst xmlns="http://schemas.openxmlformats.org/spreadsheetml/2006/main" count="734" uniqueCount="567">
  <si>
    <t>Day-by-day plan: Day 0 plus 12 sessions of 4 hours</t>
  </si>
  <si>
    <t>Between-session assignments (3)</t>
  </si>
  <si>
    <t>Must-do lab = everyone completes it. Extra challenge = for pairs who finish early. Blue row = Day 0. Yellow rows = checkpoint days (end of each week).</t>
  </si>
  <si>
    <t>Individual, 2 to 3 hours, done in the 2 to 3 day gap between sessions that the syllabus builds in for homework. A1 runs in notebook cells on Databricks. A2 extends Lab 6 in Microsoft Foundry and the Azure Query editor. A3 builds on the Day 10 monitoring lab.</t>
  </si>
  <si>
    <t>AI Engineer (Data): training plan</t>
  </si>
  <si>
    <t>Lab catalogue (12 labs, Days 1 to 12)</t>
  </si>
  <si>
    <t>A1: Make the corpus answer the escalation question</t>
  </si>
  <si>
    <t>Given on</t>
  </si>
  <si>
    <t>Day</t>
  </si>
  <si>
    <t>Day 2</t>
  </si>
  <si>
    <t>Novel Vista x ITC Infotech. 48 hours, 6 weeks, 2 sessions a week of 4 hours. Data engineers with 4+ years. Built on ITC's updated syllabus (June 2026), with every lab hands-on and set in one made-up company, FreshCart. Labs 1 to 4 run on Azure Databricks; from Day 5 the labs run in Microsoft Foundry.</t>
  </si>
  <si>
    <t>Due on</t>
  </si>
  <si>
    <t>Day 3</t>
  </si>
  <si>
    <t>Time (hours)</t>
  </si>
  <si>
    <t>Each lab is about 50 to 85 minutes of must-do work. Labs 1 to 4 run on Azure Databricks; Labs 5 to 12 run in Microsoft Foundry and the Microsoft stack. Details for Labs 7 to 12 are shared before each session. What to upload as proof is what you hand in on the ITC portal.</t>
  </si>
  <si>
    <t>2 to 3</t>
  </si>
  <si>
    <t>Week</t>
  </si>
  <si>
    <t>Phase</t>
  </si>
  <si>
    <t>Topic</t>
  </si>
  <si>
    <t>Goal for the day</t>
  </si>
  <si>
    <t>Scenario</t>
  </si>
  <si>
    <t>Support agents say questions about when to escalate get confident wrong answers.</t>
  </si>
  <si>
    <t>What we teach (with live demo)</t>
  </si>
  <si>
    <t>Must-do lab (everyone)</t>
  </si>
  <si>
    <t>Extra challenge</t>
  </si>
  <si>
    <t>Task</t>
  </si>
  <si>
    <t>Lab data</t>
  </si>
  <si>
    <t>How we check</t>
  </si>
  <si>
    <t>Case study (20 to 25 min)</t>
  </si>
  <si>
    <t>Find why (the SOP is scanned and extracted nothing). Fix it with apply_ocr, which works offline now that the pack ships the recognised text in data/cache. Add an assertion that would catch it next time, then re-run verification and the five Lab 1 queries.</t>
  </si>
  <si>
    <t>Hours</t>
  </si>
  <si>
    <t>Syllabus topics covered</t>
  </si>
  <si>
    <t>Format</t>
  </si>
  <si>
    <t>D0</t>
  </si>
  <si>
    <t>What to hand in</t>
  </si>
  <si>
    <t>Phase summary</t>
  </si>
  <si>
    <t>Notebook export with outputs; verification table before and after; one-page note</t>
  </si>
  <si>
    <t>Extension (optional)</t>
  </si>
  <si>
    <t>Build a 20-question golden set with 5 unanswerable questions. It seeds Lab 4.</t>
  </si>
  <si>
    <t>Week 0</t>
  </si>
  <si>
    <t>Builds on labs</t>
  </si>
  <si>
    <t>0. Set up the environment</t>
  </si>
  <si>
    <t>L01, L02</t>
  </si>
  <si>
    <t>Lab</t>
  </si>
  <si>
    <t>Days</t>
  </si>
  <si>
    <t>Lab name</t>
  </si>
  <si>
    <t>Scoring</t>
  </si>
  <si>
    <t>Sessions</t>
  </si>
  <si>
    <t>What people get</t>
  </si>
  <si>
    <t>Criterion</t>
  </si>
  <si>
    <t>What they do</t>
  </si>
  <si>
    <t>Focus</t>
  </si>
  <si>
    <t>What they hand in</t>
  </si>
  <si>
    <t>Weight (%)</t>
  </si>
  <si>
    <t>How it is checked</t>
  </si>
  <si>
    <t>Setup check</t>
  </si>
  <si>
    <t>Pass mark</t>
  </si>
  <si>
    <t>Every participant runs the lab environment once and pastes the output in chat.</t>
  </si>
  <si>
    <t>No teaching. A 30-minute live check a few days before Day 1.</t>
  </si>
  <si>
    <t>Run the setup commands and the Lab 1 starter; confirm the verification table prints.</t>
  </si>
  <si>
    <t>Root cause identified correctly</t>
  </si>
  <si>
    <t>DS1</t>
  </si>
  <si>
    <t>Output pasted in chat; trainer fixes blockers live</t>
  </si>
  <si>
    <t>Pre-work is provided by ITC (data landscape primer, Python/SQL/dbt refresher)</t>
  </si>
  <si>
    <t>Fix verified by an assertion, not by eye</t>
  </si>
  <si>
    <t>Day 0</t>
  </si>
  <si>
    <t>Builds on</t>
  </si>
  <si>
    <t>Live online, 30 min</t>
  </si>
  <si>
    <t>Used later in</t>
  </si>
  <si>
    <t>Before and after measured</t>
  </si>
  <si>
    <t>What to upload as proof</t>
  </si>
  <si>
    <t>Note is clear and short</t>
  </si>
  <si>
    <t>L01</t>
  </si>
  <si>
    <t>Week 1</t>
  </si>
  <si>
    <t>1. Build the retrieval pipeline</t>
  </si>
  <si>
    <t>Ingest five formats, and compare three loaders</t>
  </si>
  <si>
    <t>Embeddings and chunking</t>
  </si>
  <si>
    <t>Total</t>
  </si>
  <si>
    <t>Turn five messy formats into one indexed corpus, and find what silently broke.</t>
  </si>
  <si>
    <t>Starter file; seven-file corpus with planted defects; answer template</t>
  </si>
  <si>
    <t>Programme opening and word game. What a language model can and cannot do. Embeddings as addresses in meaning-space. Similar vs relevant vs correct. Chunking strategies, chunk size, overlap, metadata. Loaders.</t>
  </si>
  <si>
    <t>Load, verify extraction before indexing, chunk per document type, attach metadata, embed, index, run five queries. Then load the same seven files with the LlamaIndex readers and with the LangChain loaders, and compare unit counts, characters and metadata against your own.</t>
  </si>
  <si>
    <t>Lab 1: ingest five file formats into one indexed corpus. Verify extraction before indexing. Find the query where the superseded 2022 policy outranks the current one.</t>
  </si>
  <si>
    <t>Answer template: empty source, chunking choices, worst chunk, superseded-policy query. Plus a three column table, your loader against each framework, and which one you would ship.</t>
  </si>
  <si>
    <t>Add OCR for the scanned SOP and show the escalation question now retrieves the right document.</t>
  </si>
  <si>
    <t>Debrief review against definition of done</t>
  </si>
  <si>
    <t>Quick checks 1 and 2; worst chunk contest in the debrief</t>
  </si>
  <si>
    <t>Empty source identified; superseded-policy query found and fixed with the recency filter; all three loaders run over all seven files and the silently empty file is found in each.</t>
  </si>
  <si>
    <t>OCR the scanned SOP</t>
  </si>
  <si>
    <t>Embeddings; chunking; LangChain / LlamaIndex data loaders</t>
  </si>
  <si>
    <t>Live class with trainer</t>
  </si>
  <si>
    <t>L02, L03, L09</t>
  </si>
  <si>
    <t>Notebook export with outputs; handouts/lab1_answers.md. Must show 7 files, 17 units, 30 chunks and one EMPTY row.</t>
  </si>
  <si>
    <t>L02</t>
  </si>
  <si>
    <t>Benchmark three stores</t>
  </si>
  <si>
    <t>Vector stores, recall and latency</t>
  </si>
  <si>
    <t>Day 1 corpus; three stores (flat, IVF, SQLite); benchmark harness</t>
  </si>
  <si>
    <t>Pick a vector store with numbers an architect would accept.</t>
  </si>
  <si>
    <t>What a vector database does. Exact vs approximate search. Recall, p50 and p95, build time, memory. HNSW and IVF parameters. Pre-filter vs post-filter. How benchmarks lie.</t>
  </si>
  <si>
    <t>Ground truth from exact search; recall, p50, p95, build time, memory; parameter sweep; pre vs post filter. Then a 20 minute discussion, not a build: map the twelve labs onto their Microsoft Fabric and Synapse equivalents and mark the three with no clean equivalent.</t>
  </si>
  <si>
    <t>One-page decision memo with the curve, and the marked Fabric map.</t>
  </si>
  <si>
    <t>Lab 2: benchmark three stores on the same vectors, sweep the search parameter, run the selective filter test, write a one-page decision memo.</t>
  </si>
  <si>
    <t>Checkpoint 1 memo review</t>
  </si>
  <si>
    <t>Scale the corpus 100 times and find where exact search stops meeting a 150 ms p95 target.</t>
  </si>
  <si>
    <t>All six metrics for all three stores; elbow identified; filter difference explained; three Fabric gaps named.</t>
  </si>
  <si>
    <t>Find where exact search fails a 150 ms p95</t>
  </si>
  <si>
    <t>Checkpoint 1: decision memo reviewed; re-vote on 'what breaks first'</t>
  </si>
  <si>
    <t>L03</t>
  </si>
  <si>
    <t>Vector DBs: benchmarking on recall; latency</t>
  </si>
  <si>
    <t>Notebook export; handouts/lab2_memo.md; out/lab2_curve.png. Must show the three-store table and the n_probe curve.</t>
  </si>
  <si>
    <t>Week 2</t>
  </si>
  <si>
    <t>Hybrid retrieval and lift</t>
  </si>
  <si>
    <t>Retrieval module (BM25, RRF, reranker, nDCG); Day 1 corpus</t>
  </si>
  <si>
    <t>Hybrid retrieval, reranking, filtering</t>
  </si>
  <si>
    <t>Fix last week's failed queries and prove the lift with nDCG.</t>
  </si>
  <si>
    <t>A2: Extend the Lab 6 semantic layer to new questions</t>
  </si>
  <si>
    <t>Add keyword search, fuse, rerank, filter. Judge 20 queries. Measure nDCG at four stages.</t>
  </si>
  <si>
    <t>Dense and keyword search fail in opposite directions. Reciprocal rank fusion. Retrieve wide, rerank narrow. nDCG in plain terms. Filters as correctness controls.</t>
  </si>
  <si>
    <t>Four-stage results table; one regression explained</t>
  </si>
  <si>
    <t>Lab 3: add BM25, fuse with RRF, rerank the top 50, add a recency filter. Report nDCG@10 at four stages and one query that got worse.</t>
  </si>
  <si>
    <t>Numbers re-run by trainer</t>
  </si>
  <si>
    <t>Tune the fusion constant and the weighting; show whether it beats equal weighting on your judged set.</t>
  </si>
  <si>
    <t>DS1, DS3</t>
  </si>
  <si>
    <t>Hybrid at least equal to dense on mean nDCG; every stage measured separately</t>
  </si>
  <si>
    <t>Quick checks; four-stage results table</t>
  </si>
  <si>
    <t>Tune fusion and weighting</t>
  </si>
  <si>
    <t>Day 6</t>
  </si>
  <si>
    <t>Hybrid retrieval; cross-encoder reranking; metadata filtering</t>
  </si>
  <si>
    <t>L04</t>
  </si>
  <si>
    <t>Notebook export showing nDCG@10 at all four stages and the lift between them.</t>
  </si>
  <si>
    <t>Day 7</t>
  </si>
  <si>
    <t>Grounding, citations, refusal</t>
  </si>
  <si>
    <t>Ship a RAG API whose citations are verified in code and which refuses when it should.</t>
  </si>
  <si>
    <t>RAG API with verified citations</t>
  </si>
  <si>
    <t>Why models invent: three causes, three fixes. The grounding instruction. What a citation must be. Faithfulness, answer relevance, context relevance. Evaluation sets with unanswerable questions. The response contract.</t>
  </si>
  <si>
    <t>RAG module; grounding prompt; Day 3 stack</t>
  </si>
  <si>
    <t>Setup check (30 min) and ITC-provided pre-work. Every participant proves the lab environment works before Day 1.</t>
  </si>
  <si>
    <t>Lab 4: RAG API over the Day 3 stack, with verified citations, a refusal threshold and all five response fields. Report refusal rates on answerable and unanswerable questions separately.</t>
  </si>
  <si>
    <t>Endpoint with citations verified in code, refusal threshold, five response fields. 20 answerable and 5 unanswerable questions.</t>
  </si>
  <si>
    <t>API; faithfulness score; two refusal rates</t>
  </si>
  <si>
    <t>Checkpoint 2 practical test</t>
  </si>
  <si>
    <t>1 to 4</t>
  </si>
  <si>
    <t>Operations sends ten business questions. Some the semantic layer can answer through a breakdown, some it cannot, and one is ambiguous.</t>
  </si>
  <si>
    <t>Zero unverified citations surfaced; refuses at least 4 of 5 unanswerable; refuses no more than 10% of answerable</t>
  </si>
  <si>
    <t>Conflict handling between policy versions</t>
  </si>
  <si>
    <t>L08, L10, L12</t>
  </si>
  <si>
    <t>Handle conflicting sources: when both policies retrieve, prefer the current one and say so.</t>
  </si>
  <si>
    <t>Notebook export with the debrief block: refusal rates, faithfulness, correct facts and phantom citations caught.</t>
  </si>
  <si>
    <t>Write 10 new questions on the small warehouse, with reviewed SQL run in the Query editor. Ask SqlAgent (rules and examples) and MetricsAgent all 10, in new chats. Then define one number the layer refused the way the layer stores it: formula, tables, business rules, date column, and its grain in one sentence. Run its SQL, and write the instruction line MetricsAgent would need for it.</t>
  </si>
  <si>
    <t>L05</t>
  </si>
  <si>
    <t>Checkpoint 2: phantom citations caught; two refusal rates reported</t>
  </si>
  <si>
    <t>C1</t>
  </si>
  <si>
    <t>An agent with tools in Foundry</t>
  </si>
  <si>
    <t>Grounding; RAG with citations; hallucination control</t>
  </si>
  <si>
    <t>Lab 5 handbook; get_metric Function App code; OpenAPI file; refund policy PDF; FreshCart warehouse file</t>
  </si>
  <si>
    <t>Answer key of 10 queries with their numbers; results table for both agents (SqlAgent right; MetricsAgent answered, right, refused); the new number's definition and result; one-page note</t>
  </si>
  <si>
    <t>Week 3</t>
  </si>
  <si>
    <t>Ground an agent on the refund policy; add the Microsoft Learn MCP server; deploy get_metric to an Azure Function App; connect it as an OpenAPI tool and as an MCP server; pass the answer to a second agent through a workflow.</t>
  </si>
  <si>
    <t>2. Tools, NL2SQL and agents</t>
  </si>
  <si>
    <t>Function calling, OpenAPI and MCP</t>
  </si>
  <si>
    <t>The same March revenue through both tools, and the second agent's email</t>
  </si>
  <si>
    <t>Write the misleading-chart question for MetricsAgent and report whether its instructions stop it.</t>
  </si>
  <si>
    <t>Give an agent tools it calls safely, and serve one tool two ways.</t>
  </si>
  <si>
    <t>Shown in the playground in the debrief</t>
  </si>
  <si>
    <t>Function calling and what the model sees of a tool. Three lanes kept in code. Orchestration patterns: one call, a chain, parallel, a loop. OpenAPI files as tools. MCP servers and how the three layers stack. Azure AI Foundry tour: model catalog, playground vs API, deployments.</t>
  </si>
  <si>
    <t>531,043.03 through both tools; grounded answers cite the policy; the second agent adds no policy detail of its own</t>
  </si>
  <si>
    <t>Lab 5 in Foundry: ground an agent on the refund policy, add the Microsoft Learn MCP server, deploy get_metric to an Azure Function App, connect it as an OpenAPI tool and as an MCP server, then hand the answer to a second agent.</t>
  </si>
  <si>
    <t>L06</t>
  </si>
  <si>
    <t>Fix a clash between two tools with the same function name, using names and descriptions only</t>
  </si>
  <si>
    <t>Give two tools the same function name, watch the agent pick the wrong one, and fix it with names and descriptions only.</t>
  </si>
  <si>
    <t>DS1, DS2</t>
  </si>
  <si>
    <t>L06, L07</t>
  </si>
  <si>
    <t>Embeddings, chunking, vector stores, hybrid retrieval, reranking, grounding with citations.</t>
  </si>
  <si>
    <t>Quick checks; the same March revenue shown through both tools</t>
  </si>
  <si>
    <t>Screenshots of the agent answering through the OpenAPI tool and the MCP tool, and of the second agent's email.</t>
  </si>
  <si>
    <t>Function calling fundamentals; tool orchestration patterns; OpenAPI integration; MCP server concepts; Azure AI Foundry tour (from Day 1)</t>
  </si>
  <si>
    <t>5 to 8</t>
  </si>
  <si>
    <t>Questions in English, numbers you can defend</t>
  </si>
  <si>
    <t>NL2SQL, semantic layers and insight narration</t>
  </si>
  <si>
    <t>Make an agent's SQL defensible, then move the definitions into a semantic layer.</t>
  </si>
  <si>
    <t>New number declares joins and grain correctly</t>
  </si>
  <si>
    <t>Lab 6 handbook; shared Azure SQL warehouse freshcart_mini; a Function App with run_sql and official_number; tool files; four sets of agent instructions; answer key</t>
  </si>
  <si>
    <t>NL2SQL and six ways a query is wrong without an error. Schema, business rules and worked examples. Three gates on generated SQL. Execution accuracy against reviewed answers. Semantic layers. Narration: number, comparison, scope, never cause. Chart rules and charts that mislead.</t>
  </si>
  <si>
    <t>Lab 6 in Foundry: an agent writes its own SQL on a small Azure SQL warehouse; five questions asked with the schema only, with business rules and with worked examples, each checked against a reviewed answer key; then a semantic layer agent that also draws charts.</t>
  </si>
  <si>
    <t>Build SqlAgent and ask five questions with the schema only, then with business rules, then with worked examples, checking each against the reviewed answer key in the Query editor; then build MetricsAgent with the semantic layer and Code Interpreter for charts.</t>
  </si>
  <si>
    <t>Ask the semantic layer agent for a chart that would mislead, such as a count without its base, and see whether its instructions stop it.</t>
  </si>
  <si>
    <t>DS5</t>
  </si>
  <si>
    <t>Test questions cover edge cases</t>
  </si>
  <si>
    <t>Results table for five questions at three stages; one wrong number traced to its rows</t>
  </si>
  <si>
    <t>Checkpoint 3: the five-by-three results table, and one wrong number traced to its rows</t>
  </si>
  <si>
    <t>Checkpoint 3 review</t>
  </si>
  <si>
    <t>NL2SQL pipelines with schema grounding; few-shot patterns; semantic layers; insight narration and chart generation</t>
  </si>
  <si>
    <t>Every cell of the results table filled and checked against the answer key; at least one wrong number traced to its rows</t>
  </si>
  <si>
    <t>Both agents measured, not claimed</t>
  </si>
  <si>
    <t>Week 4</t>
  </si>
  <si>
    <t>Ask for a misleading chart and see whether the instructions stop it</t>
  </si>
  <si>
    <t>Agents in Azure AI Foundry</t>
  </si>
  <si>
    <t>Function calling, OpenAPI and MCP; NL2SQL with schema grounding and semantic layers; agents in Azure AI Foundry; Copilot agents and Microsoft Agent Framework.</t>
  </si>
  <si>
    <t>L07, L08, L12</t>
  </si>
  <si>
    <t>Note is clear and honest</t>
  </si>
  <si>
    <t>Build an agent that plans several steps over the Lab 5 and Lab 6 tools and keeps context.</t>
  </si>
  <si>
    <t>3. Fabric pipelines and MLOps</t>
  </si>
  <si>
    <t>Screenshot of the filled results table and of one chart drawn by MetricsAgent.</t>
  </si>
  <si>
    <t>9 to 10</t>
  </si>
  <si>
    <t>Agents vs pipelines. Planner and executor designs. Memory systems. The Agent Skills Framework. Agents in Azure AI Foundry: orchestration, multi-step reasoning, memory and context handling.</t>
  </si>
  <si>
    <t>L07</t>
  </si>
  <si>
    <t>Lab 7 in Foundry: a basic enterprise agent that plans several steps over the Lab 5 and Lab 6 tools.</t>
  </si>
  <si>
    <t>Shared before the session</t>
  </si>
  <si>
    <t>DS1, DS2, DS5</t>
  </si>
  <si>
    <t>A first enterprise agent in Foundry</t>
  </si>
  <si>
    <t>Quick checks; one agent trace reviewed in the debrief</t>
  </si>
  <si>
    <t>Agents vs pipelines; Planner-Executor architectures and memory systems; Agent Skills Framework; agents in Azure AI Foundry</t>
  </si>
  <si>
    <t>Build a basic enterprise agent in Azure AI Foundry that plans several steps over the Lab 5 and Lab 6 tools, with memory.</t>
  </si>
  <si>
    <t>Copilot agents and Microsoft Agent Framework</t>
  </si>
  <si>
    <t>Build a data agent that calls tools over enterprise data, inside the Microsoft stack.</t>
  </si>
  <si>
    <t>L05, L06</t>
  </si>
  <si>
    <t>Copilot agents. Microsoft Agent Framework. M365 Copilot Agent Toolkit SDK. Tool-driven agents connecting APIs and enterprise data. Multi-tool workflows and orchestrating decision flows.</t>
  </si>
  <si>
    <t>L08, L12</t>
  </si>
  <si>
    <t>Lab 8: an AI data agent using Foundry and tool calling over enterprise data.</t>
  </si>
  <si>
    <t>DS2, DS5</t>
  </si>
  <si>
    <t>Checkpoint 4: the agent's tool calls traced for one decision</t>
  </si>
  <si>
    <t>L08</t>
  </si>
  <si>
    <t>C3</t>
  </si>
  <si>
    <t>Copilot agents and Microsoft Agent Framework; M365 Copilot Agent Toolkit SDK; tool-driven agents; multi-tool workflows</t>
  </si>
  <si>
    <t>An AI data agent with Copilot and Agent Framework</t>
  </si>
  <si>
    <t>Microsoft Fabric pipelines and Data Agents, LLM enrichment, MLOps, drift, cost and agent monitoring.</t>
  </si>
  <si>
    <t>Week 5</t>
  </si>
  <si>
    <t>Build an AI data agent with Foundry and tool calling over enterprise data, using Microsoft Agent Framework.</t>
  </si>
  <si>
    <t>4. Govern and ship</t>
  </si>
  <si>
    <t>Fabric pipelines and Data Agents</t>
  </si>
  <si>
    <t>11 to 12</t>
  </si>
  <si>
    <t>A governed pipeline that re-indexes what changed and enriches records with a model.</t>
  </si>
  <si>
    <t>A3: The silent regression drill</t>
  </si>
  <si>
    <t>Microsoft Fabric fundamentals. Azure Data Factory and Fabric pipelines. Data ingestion for GenAI. Fabric IQ, Fabric Data Agents and Work IQ. Integrating Fabric with Foundry. Data quality, lineage and LLM enrichment in pipelines.</t>
  </si>
  <si>
    <t>Lab 9: a governed ingestion and re-index pipeline feeding the AI system; LLM-enrich records at scale.</t>
  </si>
  <si>
    <t>L12</t>
  </si>
  <si>
    <t>Day 10</t>
  </si>
  <si>
    <t>Quick checks; one pipeline run shown with its lineage</t>
  </si>
  <si>
    <t>C2</t>
  </si>
  <si>
    <t>L09</t>
  </si>
  <si>
    <t>Microsoft Fabric fundamentals; Azure Data Factory and Fabric pipelines; Fabric IQ, Fabric Data Agents and Work IQ; data quality, lineage and LLM enrichment</t>
  </si>
  <si>
    <t>Day 11</t>
  </si>
  <si>
    <t>A Fabric pipeline that re-indexes and enriches</t>
  </si>
  <si>
    <t>MLOps and agent monitoring</t>
  </si>
  <si>
    <t>Know within a day when quality, drift or cost has moved, and block a bad deploy.</t>
  </si>
  <si>
    <t>Build a governed ingestion and re-index pipeline feeding the AI system, and LLM-enrich records at scale.</t>
  </si>
  <si>
    <t>MLOps for GenAI: MLflow, CI/CD, evaluation harness. Data, embedding and prompt drift. Cost monitoring. Agent monitoring: Foundry evaluation dashboards, experiment tracking, prompt and decision traceability.</t>
  </si>
  <si>
    <t>Lab 10: an agent monitoring dashboard, a CI gate on evaluation regressions, and drift and cost tracking per pipeline.</t>
  </si>
  <si>
    <t>DS3, DS4</t>
  </si>
  <si>
    <t>Checkpoint 5: which signal caught which fault</t>
  </si>
  <si>
    <t>C4</t>
  </si>
  <si>
    <t>PII, RBAC on vector stores, responsible AI and Foundry governance, then the capstone Enterprise Data Agent and panel review.</t>
  </si>
  <si>
    <t>L01, L03</t>
  </si>
  <si>
    <t>MLOps for GenAI: MLflow, CI/CD, eval harness; data, embedding and prompt drift; cost monitoring; agent monitoring in Foundry</t>
  </si>
  <si>
    <t>L10, L12</t>
  </si>
  <si>
    <t>Week 6</t>
  </si>
  <si>
    <t>L10</t>
  </si>
  <si>
    <t>Programme total (Days 1 to 12)</t>
  </si>
  <si>
    <t>Governance, RBAC and responsible AI</t>
  </si>
  <si>
    <t>Agent monitoring and CI gates</t>
  </si>
  <si>
    <t>Two users ask the same question and correctly get different answers, with an audit record for each.</t>
  </si>
  <si>
    <t>PII handling, compliance and data residency. RBAC on vector stores and knowledge-base security. Responsible AI. Foundry governance: role-based access, model governance, audit logging. Capstone kick-off.</t>
  </si>
  <si>
    <t>Build an agent monitoring dashboard, a CI gate on evaluation regressions, and drift and cost tracking per pipeline.</t>
  </si>
  <si>
    <t>Lab 11: PII detection and RBAC or row-level security on the vector store; audit logging in Foundry; start the capstone build.</t>
  </si>
  <si>
    <t>Quick checks; no restricted chunk in either context window</t>
  </si>
  <si>
    <t>C5</t>
  </si>
  <si>
    <t>PII, compliance and data residency; RBAC on vector DBs and knowledge-base security; responsible AI; Foundry governance and audit logging; capstone kick-off</t>
  </si>
  <si>
    <t>L04, L09</t>
  </si>
  <si>
    <t>3</t>
  </si>
  <si>
    <t>Capstone: Enterprise Data Agent</t>
  </si>
  <si>
    <t>L11</t>
  </si>
  <si>
    <t>Show a working, measured, governed agent and defend it.</t>
  </si>
  <si>
    <t>Short opening, then build. Panel asks three published questions: How do you know? Show me what was retrieved. What would you fix first?</t>
  </si>
  <si>
    <t>PII, RBAC and audit in Foundry</t>
  </si>
  <si>
    <t>After a chunking change, support says answers got worse. Nothing alerted.</t>
  </si>
  <si>
    <t>Capstone: an AI Foundry-powered Enterprise Data Agent: ingestion, vector search on Azure AI Search, RAG, agent layer with tool calling, NL2SQL, monitored, evaluated and RBAC-governed.</t>
  </si>
  <si>
    <t>Target from the syllabus: 12 sessions, 48 hours.</t>
  </si>
  <si>
    <t>All</t>
  </si>
  <si>
    <t>PII detection, RBAC or row-level security on the vector store, and audit logging in Foundry; start the capstone build.</t>
  </si>
  <si>
    <t>Capstone rubric; end-of-programme concept check</t>
  </si>
  <si>
    <t>C6</t>
  </si>
  <si>
    <t>Reproduce a silent regression, find which signal moved, write a runbook entry and an alert with a named owner, and add the gate that would have blocked it.</t>
  </si>
  <si>
    <t>Capstone build completion; presentation; trainer panel review</t>
  </si>
  <si>
    <t>How each 4-hour session runs</t>
  </si>
  <si>
    <t>L03, L04</t>
  </si>
  <si>
    <t>Harness output for both runs; alert rule; runbook entry; gate shown failing on the change and passing without it</t>
  </si>
  <si>
    <t>Time</t>
  </si>
  <si>
    <t>Activity</t>
  </si>
  <si>
    <t>Sessions (Days 1 to 12)</t>
  </si>
  <si>
    <t>Show the same regression in the score distribution before answer quality moves.</t>
  </si>
  <si>
    <t>Ingestion, vector search on Azure AI Search, RAG, an agent layer with tool calling, NL2SQL, monitoring and evaluation, and RBAC.</t>
  </si>
  <si>
    <t>L09, L10</t>
  </si>
  <si>
    <t>Panel rubric</t>
  </si>
  <si>
    <t>At least 60% on the capstone rubric</t>
  </si>
  <si>
    <t>Regression reproduced</t>
  </si>
  <si>
    <t>Right signal identified</t>
  </si>
  <si>
    <t>Notes</t>
  </si>
  <si>
    <t>Gate blocks the change</t>
  </si>
  <si>
    <t>0:00 to 0:10</t>
  </si>
  <si>
    <t>Notebook export means File, then Export, then IPython notebook, with Include outputs ticked.</t>
  </si>
  <si>
    <t>Opening and a chat collection</t>
  </si>
  <si>
    <t>Runbook and alert are actionable</t>
  </si>
  <si>
    <t>Programme hours (Days 1 to 12)</t>
  </si>
  <si>
    <t>Second day of each week opens with a one-minute recap of the first.</t>
  </si>
  <si>
    <t>0:10 to 1:15</t>
  </si>
  <si>
    <t>Teach block 1: plain definition, then analogy, then a live demo that fails before it works</t>
  </si>
  <si>
    <t>The failure is the lesson. Shown on the trainer's screen, not described.</t>
  </si>
  <si>
    <t>1:15 to 1:23</t>
  </si>
  <si>
    <t>Quick check 1: three questions in chat, answers on the next slide</t>
  </si>
  <si>
    <t>Day 0 hours</t>
  </si>
  <si>
    <t>Answers are discussed before moving on.</t>
  </si>
  <si>
    <t>1:23 to 1:33</t>
  </si>
  <si>
    <t>Break</t>
  </si>
  <si>
    <t>Visible timer; exact return time posted in chat.</t>
  </si>
  <si>
    <t>1:33 to 2:20</t>
  </si>
  <si>
    <t>Teach block 2</t>
  </si>
  <si>
    <t>2:20 to 2:28</t>
  </si>
  <si>
    <t>Quick check 2, which doubles as the lab briefing</t>
  </si>
  <si>
    <t>2:28 to 3:45</t>
  </si>
  <si>
    <t>Lab in pairs, in breakout rooms</t>
  </si>
  <si>
    <t>The trainer visits every room twice. Each pair mixes Python strength with domain strength.</t>
  </si>
  <si>
    <t>3:45 to 4:00</t>
  </si>
  <si>
    <t>Debrief and end-of-day pulse</t>
  </si>
  <si>
    <t>Protected time. The lab never eats the debrief.</t>
  </si>
  <si>
    <t>Day 1 also carries the 38-minute programme opening, so its lab runs 55 minutes with two formats set as homework.</t>
  </si>
  <si>
    <t>Targets for the cohort</t>
  </si>
  <si>
    <t>Target</t>
  </si>
  <si>
    <t>Measure</t>
  </si>
  <si>
    <t>How it is measured</t>
  </si>
  <si>
    <t>Hands-on</t>
  </si>
  <si>
    <t>Every participant completes every must-do lab</t>
  </si>
  <si>
    <t>Lab definition of done, checked in the debrief. Catch-up slot offered if missed.</t>
  </si>
  <si>
    <t>Measurement habit</t>
  </si>
  <si>
    <t>Every lab deliverable reports a number and the method behind it</t>
  </si>
  <si>
    <t>Reviewed at the four weekly checkpoints.</t>
  </si>
  <si>
    <t>Readiness uplift</t>
  </si>
  <si>
    <t>End-of-programme concept check at least 70%</t>
  </si>
  <si>
    <t>Same instrument as the Day 1 readiness survey, so the gain is comparable.</t>
  </si>
  <si>
    <t>Capstone</t>
  </si>
  <si>
    <t>Every pair scores at least 60% on the capstone rubric</t>
  </si>
  <si>
    <t>Panel scoring on Day 12, see 'How we check learning'.</t>
  </si>
  <si>
    <t>Experience</t>
  </si>
  <si>
    <t>End-of-day pulse averages at least 4 out of 5</t>
  </si>
  <si>
    <t>Syllabus requirement: end-of-day pulse and end-of-week retro.</t>
  </si>
  <si>
    <t>Case studies (5)</t>
  </si>
  <si>
    <t>Each runs about 20 to 25 minutes inside the teaching block: 5-minute story, 10 minutes of pair discussion, 10-minute debrief. Figures below are taken from the linked sources.</t>
  </si>
  <si>
    <t>Case</t>
  </si>
  <si>
    <t>Case study</t>
  </si>
  <si>
    <t>Sector</t>
  </si>
  <si>
    <t>What happened</t>
  </si>
  <si>
    <t>Discussion questions</t>
  </si>
  <si>
    <t>The lesson</t>
  </si>
  <si>
    <t>Lab it sets up</t>
  </si>
  <si>
    <t>Source</t>
  </si>
  <si>
    <t>Link</t>
  </si>
  <si>
    <t>Note</t>
  </si>
  <si>
    <t>Air Canada held liable for its chatbot</t>
  </si>
  <si>
    <t>Airline</t>
  </si>
  <si>
    <t>Feb 2024: a Canadian tribunal ruled Air Canada must honour wrong advice from its website chatbot about claiming a bereavement fare after purchase. Air Canada argued the chatbot was responsible for its own actions; the tribunal rejected this and awarded about CAD 650 plus interest and fees.</t>
  </si>
  <si>
    <t>1) At what point should the assistant have refused or linked to the policy? 2) At FreshCart, who owns what the support assistant tells a customer?</t>
  </si>
  <si>
    <t>The company owns every answer. Cite the source and refuse when there is no evidence.</t>
  </si>
  <si>
    <t>Moffatt v. Air Canada, 2024 BCCRT 149</t>
  </si>
  <si>
    <t>https://www.canlii.org/en/bc/bccrt/doc/2024/2024bccrt149/2024bccrt149.html</t>
  </si>
  <si>
    <t>Not a data company, but the clearest ruling on liability for AI answers</t>
  </si>
  <si>
    <t>England's missing 15,841 COVID cases</t>
  </si>
  <si>
    <t>Public health</t>
  </si>
  <si>
    <t>Between 25 September and 2 October 2020, 15,841 positive cases were left out of England's daily figures. Lab results arrived as CSV files and were loaded into Excel templates in the old XLS format, capped at 65,536 rows. Each result used several rows, so each template held about 1,400 cases, and rows beyond the cap were dropped without an error. Contact tracing was delayed.</t>
  </si>
  <si>
    <t>1) Which expectation from today would have caught this on day one? 2) Why did every job report success?</t>
  </si>
  <si>
    <t>Job success is not data success. A volume check catches a partial load that every other check passes.</t>
  </si>
  <si>
    <t>The Register, 5 Oct 2020; AP via PBS NewsHour, 5 Oct 2020</t>
  </si>
  <si>
    <t>https://www.theregister.com/2020/10/05/excel_england_coronavirus_contact_error/</t>
  </si>
  <si>
    <t>Row-limit explanation is from press reporting; government described it as a file-size limit</t>
  </si>
  <si>
    <t>Knight Capital's 45-minute deployment failure</t>
  </si>
  <si>
    <t>Trading</t>
  </si>
  <si>
    <t>1 Aug 2012: new code was deployed to 7 of 8 servers. The eighth still held dormant legacy code, which the new orders triggered. Processing 212 customer orders, the router sent millions of orders and got over 4 million executions in 154 stocks in about 45 minutes. Knight lost over USD 460 million and later paid a USD 12 million SEC penalty.</t>
  </si>
  <si>
    <t>1) Which gate would have stopped this before the market opened? 2) What is the equivalent of the eighth server in an AI pipeline?</t>
  </si>
  <si>
    <t>Verify every deployment, remove dead code paths, and have a way to stop fast. Gates exist for the Friday-evening deploy.</t>
  </si>
  <si>
    <t>SEC order, Release No. 70694, 16 Oct 2013</t>
  </si>
  <si>
    <t>https://www.sec.gov/files/litigation/admin/2013/34-70694.pdf</t>
  </si>
  <si>
    <t>Not an AI system; a release-control failure, which is what Day 8 is about</t>
  </si>
  <si>
    <t>Zillow Offers wound down</t>
  </si>
  <si>
    <t>Real estate</t>
  </si>
  <si>
    <t>2 Nov 2021: Zillow wound down its home-buying business. The CEO said the unpredictability in forecasting home prices far exceeded what they anticipated. Q3 2021 included a USD 304.4 million inventory write-down, and the wind-down cut about 25% of the workforce.</t>
  </si>
  <si>
    <t>1) What would you have monitored to see the forecast drifting from reality? 2) What limit would have capped the damage while you investigated?</t>
  </si>
  <si>
    <t>Models degrade when the world shifts. Watch prediction against outcome, not just the model's own confidence.</t>
  </si>
  <si>
    <t>How we check learning</t>
  </si>
  <si>
    <t>Zillow Group Form 8-K and Q3 2021 shareholder letter, 2 Nov 2021</t>
  </si>
  <si>
    <t>https://www.sec.gov/Archives/edgar/data/1617640/000161764021000085/z-20211102.htm</t>
  </si>
  <si>
    <t>Zillow also cited capacity, labour and supply constraints; do not present it as a pure model failure</t>
  </si>
  <si>
    <t>Samsung restricts generative AI after a code leak</t>
  </si>
  <si>
    <t>Electronics</t>
  </si>
  <si>
    <t>May 2023: Samsung restricted generative AI tools on company devices after staff uploaded sensitive internal source code to ChatGPT. Its memo said data sent to such services is stored externally and hard to retrieve or delete.</t>
  </si>
  <si>
    <t>1) Where should the boundary have been drawn before access was opened? 2) How is this the same problem as a restricted chunk reaching the context window?</t>
  </si>
  <si>
    <t>Once data leaves the boundary it cannot be recalled. Design the boundary before opening the door.</t>
  </si>
  <si>
    <t>Bloomberg, 2 May 2023; CNBC, 2 May 2023</t>
  </si>
  <si>
    <t>https://www.cnbc.com/2023/05/02/samsung-bans-use-of-ai-like-chatgpt-for-staff-after-misuse-of-chatbot.html</t>
  </si>
  <si>
    <t>Bloomberg original is paywalled; CNBC link is open</t>
  </si>
  <si>
    <t>Checks are frequent and practical. No written exams. Items marked from the syllabus are ITC requirements.</t>
  </si>
  <si>
    <t>Pre-reads (45 to 60 minutes a week)</t>
  </si>
  <si>
    <t>Check</t>
  </si>
  <si>
    <t>When</t>
  </si>
  <si>
    <t>Why</t>
  </si>
  <si>
    <t>Done by</t>
  </si>
  <si>
    <t>Primary sources only. Quick-check questions draw on these. Week 0 pre-work is provided by ITC.</t>
  </si>
  <si>
    <t>Day-1 readiness survey (syllabus)</t>
  </si>
  <si>
    <t>Day 1, in class, 30 min</t>
  </si>
  <si>
    <t>Lab data and tools</t>
  </si>
  <si>
    <t>Short concept check, same instrument reused at the end</t>
  </si>
  <si>
    <t>Calibrates starting depth; gives a baseline for the uplift target</t>
  </si>
  <si>
    <t>Individual</t>
  </si>
  <si>
    <t>Quick checks</t>
  </si>
  <si>
    <t>Reading</t>
  </si>
  <si>
    <t>Two per session, before the break and before the lab</t>
  </si>
  <si>
    <t>Three applied questions in chat, answers on the next slide</t>
  </si>
  <si>
    <t>For</t>
  </si>
  <si>
    <t>Confirms the section landed before building on it; breaks up a 4-hour virtual session</t>
  </si>
  <si>
    <t>All lab data is made up. No ITC data is used.</t>
  </si>
  <si>
    <t>Must-do lab</t>
  </si>
  <si>
    <t>ITC-provided pre-work: data landscape primer; Python / SQL / dbt refresher</t>
  </si>
  <si>
    <t>Every session</t>
  </si>
  <si>
    <t>Provided by ITC</t>
  </si>
  <si>
    <t>Definition of done in the lab brief</t>
  </si>
  <si>
    <t>Everyone reaches the same practical level</t>
  </si>
  <si>
    <t>Lewis et al. (2020), Retrieval-Augmented Generation for Knowledge-Intensive NLP Tasks (intro and Figure 1)</t>
  </si>
  <si>
    <t>Pair</t>
  </si>
  <si>
    <t>https://arxiv.org/abs/2005.11401</t>
  </si>
  <si>
    <t>ID</t>
  </si>
  <si>
    <t>Malkov and Yashunin, Efficient and robust approximate nearest neighbor search using HNSW graphs (section 1 only)</t>
  </si>
  <si>
    <t>Shared in the debrief</t>
  </si>
  <si>
    <t>https://arxiv.org/abs/1603.09320</t>
  </si>
  <si>
    <t>Keeps strong participants stretched without splitting the group</t>
  </si>
  <si>
    <t>Data</t>
  </si>
  <si>
    <t>What it contains</t>
  </si>
  <si>
    <t>Weekly checkpoint</t>
  </si>
  <si>
    <t>Used in</t>
  </si>
  <si>
    <t>Cormack, Clarke and Buettcher (2009), Reciprocal Rank Fusion outperforms Condorcet (2 pages)</t>
  </si>
  <si>
    <t>Days 2, 4, 6, 8, 10</t>
  </si>
  <si>
    <t>https://cormack.uwaterloo.ca/cormacksigir09-rrf.pdf</t>
  </si>
  <si>
    <t>Lab deliverable reviewed: memo, report, gate output</t>
  </si>
  <si>
    <t>Confirms the week's learning before moving on</t>
  </si>
  <si>
    <t>Anthropic (2024), Introducing contextual retrieval</t>
  </si>
  <si>
    <t>https://www.anthropic.com/news/contextual-retrieval</t>
  </si>
  <si>
    <t>Assignment</t>
  </si>
  <si>
    <t>Given Days 2, 6, 10; due next session</t>
  </si>
  <si>
    <t>2 to 3 hours, scored with a rubric</t>
  </si>
  <si>
    <t>Yu et al. (2018), Spider: a large-scale text-to-SQL dataset (sections 1 and 2)</t>
  </si>
  <si>
    <t>https://arxiv.org/abs/1809.08887</t>
  </si>
  <si>
    <t>Applies the week to a realistic FreshCart problem</t>
  </si>
  <si>
    <t>FreshCart document corpus</t>
  </si>
  <si>
    <t>7 files: current and superseded refund policies, two-column partner contract, scanned SOP with no text layer, SLA table in DOCX, QBR deck with out-of-order text boxes, claims spreadsheet with header on row 5</t>
  </si>
  <si>
    <t>End-of-day pulse (syllabus)</t>
  </si>
  <si>
    <t>L01 to L04, L09, L11</t>
  </si>
  <si>
    <t>Last 5 minutes of every session</t>
  </si>
  <si>
    <t>Microsoft Foundry Agent Service overview</t>
  </si>
  <si>
    <t>3 questions: clarity, pace, one thing to change</t>
  </si>
  <si>
    <t>DS2</t>
  </si>
  <si>
    <t>Lets the trainer adjust within the week</t>
  </si>
  <si>
    <t>https://learn.microsoft.com/en-us/azure/foundry/agents/overview</t>
  </si>
  <si>
    <t>FreshCart warehouse</t>
  </si>
  <si>
    <t>End-of-week retro (syllabus)</t>
  </si>
  <si>
    <t>Star schema: deprecated orders table, legacy status column, internal test accounts, fan-out order items, cumulative snapshot</t>
  </si>
  <si>
    <t>Second session of each week</t>
  </si>
  <si>
    <t>L05 to L07</t>
  </si>
  <si>
    <t>5-minute structured retro</t>
  </si>
  <si>
    <t>DS3</t>
  </si>
  <si>
    <t>Syllabus requirement; feeds the weekly report</t>
  </si>
  <si>
    <t>Golden question set</t>
  </si>
  <si>
    <t>Answerable and unanswerable questions with expected answers and supporting chunks; grows from Week 2</t>
  </si>
  <si>
    <t>L04, L08, L10, L12</t>
  </si>
  <si>
    <t>Cohort</t>
  </si>
  <si>
    <t>DS4</t>
  </si>
  <si>
    <t>Injected fault pack</t>
  </si>
  <si>
    <t>Capstone panel</t>
  </si>
  <si>
    <t>Degraded index, loosened prompt, cost regression, plus three prepared changes for L08</t>
  </si>
  <si>
    <t>Day 12</t>
  </si>
  <si>
    <t>L08, L10</t>
  </si>
  <si>
    <t>10 min present, 10 min questions, rubric below</t>
  </si>
  <si>
    <t>Shows the whole pipeline works and can be defended</t>
  </si>
  <si>
    <t>End-of-programme check</t>
  </si>
  <si>
    <t>FreshCart mini warehouse (Azure SQL)</t>
  </si>
  <si>
    <t>Same as the Day 1 survey</t>
  </si>
  <si>
    <t>Azure SQL database freshcart_mini: 6 tables and 56 rows with the same traps as DS2, small enough to check every answer by hand; shared with the class, read-only</t>
  </si>
  <si>
    <t>Measures individual uplift</t>
  </si>
  <si>
    <t>L06, A2</t>
  </si>
  <si>
    <t>Area</t>
  </si>
  <si>
    <t>Syllabus stack</t>
  </si>
  <si>
    <t>Default choice</t>
  </si>
  <si>
    <t>Offline fallback (lab repo)</t>
  </si>
  <si>
    <t>Capstone scoring</t>
  </si>
  <si>
    <t>Language</t>
  </si>
  <si>
    <t>Microsoft Agent Framework overview</t>
  </si>
  <si>
    <t>Python 3.11+, SQL</t>
  </si>
  <si>
    <t>https://learn.microsoft.com/en-us/agent-framework/overview/</t>
  </si>
  <si>
    <t>Notebooks with shared starter code</t>
  </si>
  <si>
    <t>What is measured</t>
  </si>
  <si>
    <t>Plain Python scripts</t>
  </si>
  <si>
    <t>Platform</t>
  </si>
  <si>
    <t>Strong looks like</t>
  </si>
  <si>
    <t>Azure AI Foundry, Microsoft Fabric, Azure Databricks / Synapse</t>
  </si>
  <si>
    <t>Azure Databricks for Labs 1 to 4; Microsoft Foundry for Labs 5 and 6</t>
  </si>
  <si>
    <t>Works end to end</t>
  </si>
  <si>
    <t>Lab handbooks and files on GitHub</t>
  </si>
  <si>
    <t>One question flows through ingest, retrieval, warehouse, entitlements, answer</t>
  </si>
  <si>
    <t>Loaders</t>
  </si>
  <si>
    <t>LangChain, LlamaIndex</t>
  </si>
  <si>
    <t>Framework loaders on Databricks</t>
  </si>
  <si>
    <t>Demonstrated live, not described</t>
  </si>
  <si>
    <t>Format-specific loaders in freshcart.py</t>
  </si>
  <si>
    <t>Evidence</t>
  </si>
  <si>
    <t>Vector store</t>
  </si>
  <si>
    <t>Accuracy, faithfulness, retrieval quality, latency, cost from their own runs</t>
  </si>
  <si>
    <t>Azure AI Search, pgvector</t>
  </si>
  <si>
    <t>The store ITC uses, plus Databricks Vector Search</t>
  </si>
  <si>
    <t>Numbers with the method stated and limits named</t>
  </si>
  <si>
    <t>Flat, IVF and SQLite stores</t>
  </si>
  <si>
    <t>Retrieval understanding</t>
  </si>
  <si>
    <t>Reranker</t>
  </si>
  <si>
    <t>Shows what was retrieved, with scores and filters</t>
  </si>
  <si>
    <t>Cross-encoder</t>
  </si>
  <si>
    <t>Approved hosted reranker</t>
  </si>
  <si>
    <t>Explains why the top chunk ranked first</t>
  </si>
  <si>
    <t>Lexical stand-in (measured roughly neutral)</t>
  </si>
  <si>
    <t>Models</t>
  </si>
  <si>
    <t>Governance</t>
  </si>
  <si>
    <t>Not specified</t>
  </si>
  <si>
    <t>Entitlement demo and one audit record</t>
  </si>
  <si>
    <t>gpt-4.1-mini deployed in Foundry for Labs 5 and 6; Llama 3.3 70B on Databricks for Labs 1 to 4</t>
  </si>
  <si>
    <t>Restricted chunk shown absent from the context window</t>
  </si>
  <si>
    <t>Recorded answers in the Databricks labs</t>
  </si>
  <si>
    <t>Quality gate</t>
  </si>
  <si>
    <t>Observability in Microsoft Foundry: evaluation and monitoring</t>
  </si>
  <si>
    <t>Warehouse and semantic layer</t>
  </si>
  <si>
    <t>One gate shown blocking a deliberate regression</t>
  </si>
  <si>
    <t>Databricks, dbt</t>
  </si>
  <si>
    <t>https://learn.microsoft.com/en-us/azure/foundry/concepts/observability</t>
  </si>
  <si>
    <t>Threshold set above measured noise</t>
  </si>
  <si>
    <t>Azure SQL warehouse with a semantic layer in an Azure Function (Lab 6)</t>
  </si>
  <si>
    <t>SQLite warehouse file</t>
  </si>
  <si>
    <t>Known gaps</t>
  </si>
  <si>
    <t>Orchestration</t>
  </si>
  <si>
    <t>What they did not solve and what they would fix first</t>
  </si>
  <si>
    <t>Airflow, Azure Data Factory, Fabric pipelines</t>
  </si>
  <si>
    <t>Fabric pipelines (Lab 9)</t>
  </si>
  <si>
    <t>Specific, prioritised, with a proposed fix</t>
  </si>
  <si>
    <t>Plain Python DAG</t>
  </si>
  <si>
    <t>Quality and catalog</t>
  </si>
  <si>
    <t>Unity Catalog</t>
  </si>
  <si>
    <t>Pipeline expectations and Unity Catalog lineage</t>
  </si>
  <si>
    <t>Expectations and lineage map in quality.py</t>
  </si>
  <si>
    <t>MLOps</t>
  </si>
  <si>
    <t>MLflow, Evidently, Azure AI Foundry evaluation and monitoring</t>
  </si>
  <si>
    <t>Foundry evaluation and monitoring, MLflow tracking</t>
  </si>
  <si>
    <t>observe.py harness</t>
  </si>
  <si>
    <t>PII</t>
  </si>
  <si>
    <t>Pattern plus context rules; Presidio optional</t>
  </si>
  <si>
    <t>privacy.py</t>
  </si>
  <si>
    <t>Agents</t>
  </si>
  <si>
    <t>Copilot agents, Microsoft Agent Framework, M365 Copilot Agent Toolkit, Fabric Data Agents</t>
  </si>
  <si>
    <t>Foundry agents (Labs 5 to 8)</t>
  </si>
  <si>
    <t>OWASP Top 10 for LLM applications</t>
  </si>
  <si>
    <t>https://genai.owasp.org/llm-top-10/</t>
  </si>
  <si>
    <t>Digital Personal Data Protection Act, 2023 (MeitY). Skim sections 4 to 8 for obligations; defer legal questions to ITC's DPO</t>
  </si>
  <si>
    <t>https://www.meity.gov.in/static/uploads/2024/06/2bf1f0e9f04e6fb4f8fef35e82c42aa5.pdf</t>
  </si>
  <si>
    <t>Fabric data agent concepts</t>
  </si>
  <si>
    <t>https://learn.microsoft.com/en-us/fabric/data-science/concept-data-agent</t>
  </si>
  <si>
    <t>Model Context Protocol: introduction</t>
  </si>
  <si>
    <t>https://modelcontextprotocol.io/docs/2026-07-28/getting-started/intro</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</si>
</sst>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4.0"/>
      <color rgb="FF1F2A4D"/>
      <name val="Arial"/>
    </font>
    <font>
      <sz val="11.0"/>
      <color theme="1"/>
      <name val="Arial"/>
    </font>
    <font>
      <i/>
      <sz val="10.0"/>
      <color rgb="FF555555"/>
      <name val="Arial"/>
    </font>
    <font>
      <b/>
      <sz val="12.0"/>
      <color rgb="FF1F2A4D"/>
      <name val="Arial"/>
    </font>
    <font>
      <b/>
      <sz val="10.0"/>
      <color theme="1"/>
      <name val="Arial"/>
    </font>
    <font>
      <sz val="10.0"/>
      <color theme="1"/>
      <name val="Arial"/>
    </font>
    <font>
      <b/>
      <sz val="10.0"/>
      <color rgb="FFFFFFFF"/>
      <name val="Arial"/>
    </font>
    <font>
      <color theme="1"/>
      <name val="Calibri"/>
      <scheme val="minor"/>
    </font>
    <font>
      <b/>
      <sz val="11.0"/>
      <color theme="1"/>
      <name val="Arial"/>
    </font>
    <font/>
    <font>
      <i/>
      <sz val="9.0"/>
      <color rgb="FF555555"/>
      <name val="Arial"/>
    </font>
    <font>
      <u/>
      <sz val="10.0"/>
      <color rgb="FF0000FF"/>
      <name val="Arial"/>
    </font>
    <font>
      <u/>
      <color rgb="FF0000FF"/>
    </font>
  </fonts>
  <fills count="7">
    <fill>
      <patternFill patternType="none"/>
    </fill>
    <fill>
      <patternFill patternType="lightGray"/>
    </fill>
    <fill>
      <patternFill patternType="solid">
        <fgColor rgb="FF1F2A4D"/>
        <bgColor rgb="FF1F2A4D"/>
      </patternFill>
    </fill>
    <fill>
      <patternFill patternType="solid">
        <fgColor rgb="FFE3ECF8"/>
        <bgColor rgb="FFE3ECF8"/>
      </patternFill>
    </fill>
    <fill>
      <patternFill patternType="solid">
        <fgColor rgb="FFFFF4C2"/>
        <bgColor rgb="FFFFF4C2"/>
      </patternFill>
    </fill>
    <fill>
      <patternFill patternType="solid">
        <fgColor rgb="FFF2F2F2"/>
        <bgColor rgb="FFF2F2F2"/>
      </patternFill>
    </fill>
    <fill>
      <patternFill patternType="solid">
        <fgColor rgb="FFE4F2E7"/>
        <bgColor rgb="FFE4F2E7"/>
      </patternFill>
    </fill>
  </fills>
  <borders count="5">
    <border/>
    <border>
      <left style="thin">
        <color rgb="FFD0D5DD"/>
      </left>
      <right style="thin">
        <color rgb="FFD0D5DD"/>
      </right>
      <top style="thin">
        <color rgb="FFD0D5DD"/>
      </top>
      <bottom style="thin">
        <color rgb="FFD0D5DD"/>
      </bottom>
    </border>
    <border>
      <left style="thin">
        <color rgb="FFD0D5DD"/>
      </left>
      <top style="thin">
        <color rgb="FFD0D5DD"/>
      </top>
      <bottom style="thin">
        <color rgb="FFD0D5DD"/>
      </bottom>
    </border>
    <border>
      <top style="thin">
        <color rgb="FFD0D5DD"/>
      </top>
      <bottom style="thin">
        <color rgb="FFD0D5DD"/>
      </bottom>
    </border>
    <border>
      <right style="thin">
        <color rgb="FFD0D5DD"/>
      </right>
      <top style="thin">
        <color rgb="FFD0D5DD"/>
      </top>
      <bottom style="thin">
        <color rgb="FFD0D5DD"/>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readingOrder="0" shrinkToFit="0" vertical="bottom" wrapText="0"/>
    </xf>
    <xf borderId="0" fillId="0" fontId="3" numFmtId="0" xfId="0" applyAlignment="1" applyFont="1">
      <alignment shrinkToFit="0" vertical="top" wrapText="1"/>
    </xf>
    <xf borderId="0" fillId="0" fontId="3" numFmtId="0" xfId="0" applyAlignment="1" applyFont="1">
      <alignment readingOrder="0" shrinkToFit="0" vertical="top" wrapText="1"/>
    </xf>
    <xf borderId="0" fillId="0" fontId="4" numFmtId="0" xfId="0" applyAlignment="1" applyFont="1">
      <alignment shrinkToFit="0" vertical="bottom" wrapText="0"/>
    </xf>
    <xf borderId="0" fillId="0" fontId="5" numFmtId="0" xfId="0" applyAlignment="1" applyFont="1">
      <alignment shrinkToFit="0" vertical="bottom" wrapText="0"/>
    </xf>
    <xf borderId="0" fillId="0" fontId="6" numFmtId="0" xfId="0" applyAlignment="1" applyFont="1">
      <alignment shrinkToFit="0" vertical="top" wrapText="1"/>
    </xf>
    <xf borderId="1" fillId="2" fontId="7" numFmtId="0" xfId="0" applyAlignment="1" applyBorder="1" applyFill="1" applyFont="1">
      <alignment shrinkToFit="0" vertical="center" wrapText="1"/>
    </xf>
    <xf borderId="0" fillId="0" fontId="3" numFmtId="0" xfId="0" applyAlignment="1" applyFont="1">
      <alignment readingOrder="0" shrinkToFit="0" vertical="top" wrapText="1"/>
    </xf>
    <xf borderId="0" fillId="0" fontId="6" numFmtId="0" xfId="0" applyAlignment="1" applyFont="1">
      <alignment readingOrder="0" shrinkToFit="0" vertical="top" wrapText="1"/>
    </xf>
    <xf borderId="1" fillId="3" fontId="6" numFmtId="0" xfId="0" applyAlignment="1" applyBorder="1" applyFill="1" applyFont="1">
      <alignment shrinkToFit="0" vertical="top" wrapText="1"/>
    </xf>
    <xf borderId="1" fillId="3" fontId="6" numFmtId="0" xfId="0" applyAlignment="1" applyBorder="1" applyFill="1" applyFont="1">
      <alignment readingOrder="0" shrinkToFit="0" vertical="top" wrapText="1"/>
    </xf>
    <xf borderId="1" fillId="4" fontId="6" numFmtId="0" xfId="0" applyAlignment="1" applyBorder="1" applyFill="1" applyFont="1">
      <alignment shrinkToFit="0" vertical="top" wrapText="1"/>
    </xf>
    <xf borderId="1" fillId="0" fontId="6" numFmtId="0" xfId="0" applyAlignment="1" applyBorder="1" applyFont="1">
      <alignment readingOrder="0" shrinkToFit="0" vertical="top" wrapText="1"/>
    </xf>
    <xf borderId="1" fillId="2" fontId="7" numFmtId="0" xfId="0" applyAlignment="1" applyBorder="1" applyFill="1" applyFont="1">
      <alignment readingOrder="0" shrinkToFit="0" vertical="center" wrapText="1"/>
    </xf>
    <xf borderId="1" fillId="0" fontId="6" numFmtId="0" xfId="0" applyAlignment="1" applyBorder="1" applyFont="1">
      <alignment shrinkToFit="0" vertical="top" wrapText="1"/>
    </xf>
    <xf borderId="1" fillId="5" fontId="5" numFmtId="0" xfId="0" applyAlignment="1" applyBorder="1" applyFill="1" applyFont="1">
      <alignment shrinkToFit="0" vertical="top" wrapText="1"/>
    </xf>
    <xf borderId="0" fillId="0" fontId="8" numFmtId="0" xfId="0" applyAlignment="1" applyFont="1">
      <alignment readingOrder="0" shrinkToFit="0" wrapText="1"/>
    </xf>
    <xf borderId="1" fillId="4" fontId="6" numFmtId="0" xfId="0" applyAlignment="1" applyBorder="1" applyFill="1" applyFont="1">
      <alignment readingOrder="0" shrinkToFit="0" vertical="top" wrapText="1"/>
    </xf>
    <xf borderId="0" fillId="0" fontId="4" numFmtId="0" xfId="0" applyAlignment="1" applyFont="1">
      <alignment readingOrder="0" shrinkToFit="0" vertical="bottom" wrapText="0"/>
    </xf>
    <xf borderId="0" fillId="0" fontId="9" numFmtId="0" xfId="0" applyAlignment="1" applyFont="1">
      <alignment shrinkToFit="0" vertical="bottom" wrapText="0"/>
    </xf>
    <xf borderId="2" fillId="2" fontId="7" numFmtId="0" xfId="0" applyAlignment="1" applyBorder="1" applyFill="1" applyFont="1">
      <alignment shrinkToFit="0" vertical="center" wrapText="1"/>
    </xf>
    <xf borderId="3" fillId="0" fontId="10" numFmtId="0" xfId="0" applyBorder="1" applyFont="1"/>
    <xf borderId="4" fillId="0" fontId="10" numFmtId="0" xfId="0" applyBorder="1" applyFont="1"/>
    <xf borderId="2" fillId="0" fontId="6" numFmtId="0" xfId="0" applyAlignment="1" applyBorder="1" applyFont="1">
      <alignment readingOrder="0" shrinkToFit="0" vertical="top" wrapText="1"/>
    </xf>
    <xf borderId="0" fillId="0" fontId="8" numFmtId="0" xfId="0" applyFont="1"/>
    <xf borderId="2" fillId="0" fontId="6" numFmtId="0" xfId="0" applyAlignment="1" applyBorder="1" applyFont="1">
      <alignment shrinkToFit="0" vertical="top" wrapText="1"/>
    </xf>
    <xf borderId="0" fillId="0" fontId="8" numFmtId="0" xfId="0" applyFont="1"/>
    <xf borderId="0" fillId="0" fontId="11" numFmtId="0" xfId="0" applyAlignment="1" applyFont="1">
      <alignment shrinkToFit="0" vertical="bottom" wrapText="0"/>
    </xf>
    <xf borderId="2" fillId="4" fontId="6" numFmtId="0" xfId="0" applyAlignment="1" applyBorder="1" applyFill="1" applyFont="1">
      <alignment shrinkToFit="0" vertical="top" wrapText="1"/>
    </xf>
    <xf borderId="1" fillId="6" fontId="6" numFmtId="0" xfId="0" applyAlignment="1" applyBorder="1" applyFill="1" applyFont="1">
      <alignment shrinkToFit="0" vertical="top" wrapText="1"/>
    </xf>
    <xf borderId="0" fillId="0" fontId="2" numFmtId="0" xfId="0" applyAlignment="1" applyFont="1">
      <alignment readingOrder="0" shrinkToFit="0" vertical="bottom" wrapText="1"/>
    </xf>
    <xf borderId="1" fillId="0" fontId="12" numFmtId="0" xfId="0" applyAlignment="1" applyBorder="1" applyFont="1">
      <alignment readingOrder="0" shrinkToFit="0" vertical="top" wrapText="1"/>
    </xf>
    <xf borderId="0" fillId="0" fontId="8" numFmtId="0" xfId="0" applyAlignment="1" applyFont="1">
      <alignment shrinkToFit="0" wrapText="1"/>
    </xf>
    <xf borderId="0" fillId="0" fontId="8" numFmtId="0" xfId="0" applyAlignment="1" applyFont="1">
      <alignment readingOrder="0"/>
    </xf>
    <xf borderId="0" fillId="0" fontId="1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learn.microsoft.com/en-us/azure/foundry/agents/overview" TargetMode="External"/><Relationship Id="rId2" Type="http://schemas.openxmlformats.org/officeDocument/2006/relationships/hyperlink" Target="https://learn.microsoft.com/en-us/agent-framework/overview/" TargetMode="External"/><Relationship Id="rId3" Type="http://schemas.openxmlformats.org/officeDocument/2006/relationships/hyperlink" Target="https://learn.microsoft.com/en-us/azure/foundry/concepts/observability" TargetMode="External"/><Relationship Id="rId4" Type="http://schemas.openxmlformats.org/officeDocument/2006/relationships/hyperlink" Target="https://learn.microsoft.com/en-us/fabric/data-science/concept-data-agent" TargetMode="External"/><Relationship Id="rId5" Type="http://schemas.openxmlformats.org/officeDocument/2006/relationships/hyperlink" Target="https://modelcontextprotocol.io/docs/2026-07-28/getting-started/intro" TargetMode="External"/><Relationship Id="rId6"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34.0"/>
    <col customWidth="1" min="2" max="2" width="14.0"/>
    <col customWidth="1" min="3" max="4" width="12.0"/>
    <col customWidth="1" min="5" max="5" width="70.0"/>
    <col customWidth="1" min="6" max="26" width="8.71"/>
  </cols>
  <sheetData>
    <row r="1">
      <c r="A1" s="1" t="s">
        <v>4</v>
      </c>
      <c r="B1" s="2"/>
      <c r="C1" s="2"/>
      <c r="D1" s="2"/>
      <c r="E1" s="2"/>
    </row>
    <row r="2" ht="42.0" customHeight="1">
      <c r="A2" s="10" t="s">
        <v>10</v>
      </c>
    </row>
    <row r="3">
      <c r="A3" s="2"/>
      <c r="B3" s="2"/>
      <c r="C3" s="2"/>
      <c r="D3" s="2"/>
      <c r="E3" s="2"/>
    </row>
    <row r="4">
      <c r="A4" s="6" t="s">
        <v>35</v>
      </c>
      <c r="B4" s="2"/>
      <c r="C4" s="2"/>
      <c r="D4" s="2"/>
      <c r="E4" s="2"/>
    </row>
    <row r="5">
      <c r="A5" s="9" t="s">
        <v>17</v>
      </c>
      <c r="B5" s="9" t="s">
        <v>44</v>
      </c>
      <c r="C5" s="9" t="s">
        <v>47</v>
      </c>
      <c r="D5" s="9" t="s">
        <v>30</v>
      </c>
      <c r="E5" s="9" t="s">
        <v>51</v>
      </c>
    </row>
    <row r="6">
      <c r="A6" s="15" t="s">
        <v>41</v>
      </c>
      <c r="B6" s="17" t="s">
        <v>65</v>
      </c>
      <c r="C6" s="17">
        <f>COUNTIFS('Day-by-day plan'!$C:$C,A6)</f>
        <v>1</v>
      </c>
      <c r="D6" s="17">
        <f>SUMIFS('Day-by-day plan'!$L:$L,'Day-by-day plan'!$C:$C,A6)</f>
        <v>0.5</v>
      </c>
      <c r="E6" s="17" t="s">
        <v>136</v>
      </c>
    </row>
    <row r="7">
      <c r="A7" s="15" t="s">
        <v>74</v>
      </c>
      <c r="B7" s="17" t="s">
        <v>141</v>
      </c>
      <c r="C7" s="17">
        <f>COUNTIFS('Day-by-day plan'!$C:$C,A7)</f>
        <v>4</v>
      </c>
      <c r="D7" s="17">
        <f>SUMIFS('Day-by-day plan'!$L:$L,'Day-by-day plan'!$C:$C,A7)</f>
        <v>16</v>
      </c>
      <c r="E7" s="17" t="s">
        <v>172</v>
      </c>
    </row>
    <row r="8">
      <c r="A8" s="15" t="s">
        <v>158</v>
      </c>
      <c r="B8" s="15" t="s">
        <v>176</v>
      </c>
      <c r="C8" s="17">
        <f>COUNTIFS('Day-by-day plan'!$C:$C,A8)</f>
        <v>4</v>
      </c>
      <c r="D8" s="17">
        <f>SUMIFS('Day-by-day plan'!$L:$L,'Day-by-day plan'!$C:$C,A8)</f>
        <v>16</v>
      </c>
      <c r="E8" s="15" t="s">
        <v>197</v>
      </c>
    </row>
    <row r="9">
      <c r="A9" s="15" t="s">
        <v>201</v>
      </c>
      <c r="B9" s="15" t="s">
        <v>203</v>
      </c>
      <c r="C9" s="17">
        <f>COUNTIFS('Day-by-day plan'!$C:$C,A9)</f>
        <v>2</v>
      </c>
      <c r="D9" s="17">
        <f>SUMIFS('Day-by-day plan'!$L:$L,'Day-by-day plan'!$C:$C,A9)</f>
        <v>8</v>
      </c>
      <c r="E9" s="15" t="s">
        <v>225</v>
      </c>
    </row>
    <row r="10">
      <c r="A10" s="15" t="s">
        <v>228</v>
      </c>
      <c r="B10" s="15" t="s">
        <v>230</v>
      </c>
      <c r="C10" s="17">
        <f>COUNTIFS('Day-by-day plan'!$C:$C,A10)</f>
        <v>2</v>
      </c>
      <c r="D10" s="17">
        <f>SUMIFS('Day-by-day plan'!$L:$L,'Day-by-day plan'!$C:$C,A10)</f>
        <v>8</v>
      </c>
      <c r="E10" s="15" t="s">
        <v>251</v>
      </c>
    </row>
    <row r="11">
      <c r="A11" s="18" t="s">
        <v>257</v>
      </c>
      <c r="B11" s="18"/>
      <c r="C11" s="18">
        <f t="shared" ref="C11:D11" si="1">SUM(C7:C10)</f>
        <v>12</v>
      </c>
      <c r="D11" s="18">
        <f t="shared" si="1"/>
        <v>48</v>
      </c>
      <c r="E11" s="18" t="s">
        <v>276</v>
      </c>
    </row>
    <row r="12">
      <c r="A12" s="2"/>
      <c r="B12" s="2"/>
      <c r="C12" s="2"/>
      <c r="D12" s="2"/>
      <c r="E12" s="2"/>
    </row>
    <row r="13">
      <c r="A13" s="6" t="s">
        <v>283</v>
      </c>
      <c r="B13" s="2"/>
      <c r="C13" s="2"/>
      <c r="D13" s="2"/>
      <c r="E13" s="2"/>
    </row>
    <row r="14" ht="15.0" customHeight="1">
      <c r="A14" s="9" t="s">
        <v>286</v>
      </c>
      <c r="B14" s="23" t="s">
        <v>287</v>
      </c>
      <c r="C14" s="24"/>
      <c r="D14" s="25"/>
      <c r="E14" s="9" t="s">
        <v>296</v>
      </c>
    </row>
    <row r="15" ht="15.0" customHeight="1">
      <c r="A15" s="17" t="s">
        <v>298</v>
      </c>
      <c r="B15" s="26" t="s">
        <v>300</v>
      </c>
      <c r="C15" s="24"/>
      <c r="D15" s="25"/>
      <c r="E15" s="17" t="s">
        <v>303</v>
      </c>
    </row>
    <row r="16" ht="23.25" customHeight="1">
      <c r="A16" s="17" t="s">
        <v>304</v>
      </c>
      <c r="B16" s="28" t="s">
        <v>305</v>
      </c>
      <c r="C16" s="24"/>
      <c r="D16" s="25"/>
      <c r="E16" s="17" t="s">
        <v>306</v>
      </c>
    </row>
    <row r="17" ht="23.25" customHeight="1">
      <c r="A17" s="17" t="s">
        <v>307</v>
      </c>
      <c r="B17" s="28" t="s">
        <v>308</v>
      </c>
      <c r="C17" s="24"/>
      <c r="D17" s="25"/>
      <c r="E17" s="15" t="s">
        <v>310</v>
      </c>
    </row>
    <row r="18" ht="15.0" customHeight="1">
      <c r="A18" s="17" t="s">
        <v>311</v>
      </c>
      <c r="B18" s="28" t="s">
        <v>312</v>
      </c>
      <c r="C18" s="24"/>
      <c r="D18" s="25"/>
      <c r="E18" s="17" t="s">
        <v>313</v>
      </c>
    </row>
    <row r="19" ht="15.0" customHeight="1">
      <c r="A19" s="17" t="s">
        <v>314</v>
      </c>
      <c r="B19" s="28" t="s">
        <v>315</v>
      </c>
      <c r="C19" s="24"/>
      <c r="D19" s="25"/>
      <c r="E19" s="17"/>
    </row>
    <row r="20" ht="23.25" customHeight="1">
      <c r="A20" s="17" t="s">
        <v>316</v>
      </c>
      <c r="B20" s="28" t="s">
        <v>317</v>
      </c>
      <c r="C20" s="24"/>
      <c r="D20" s="25"/>
      <c r="E20" s="17"/>
    </row>
    <row r="21" ht="23.25" customHeight="1">
      <c r="A21" s="17" t="s">
        <v>318</v>
      </c>
      <c r="B21" s="28" t="s">
        <v>319</v>
      </c>
      <c r="C21" s="24"/>
      <c r="D21" s="25"/>
      <c r="E21" s="15" t="s">
        <v>320</v>
      </c>
    </row>
    <row r="22" ht="15.0" customHeight="1">
      <c r="A22" s="17" t="s">
        <v>321</v>
      </c>
      <c r="B22" s="28" t="s">
        <v>322</v>
      </c>
      <c r="C22" s="24"/>
      <c r="D22" s="25"/>
      <c r="E22" s="17" t="s">
        <v>323</v>
      </c>
    </row>
    <row r="23" ht="15.75" customHeight="1">
      <c r="A23" s="30" t="s">
        <v>324</v>
      </c>
      <c r="B23" s="2"/>
      <c r="C23" s="2"/>
      <c r="D23" s="2"/>
      <c r="E23" s="2"/>
    </row>
    <row r="24" ht="15.75" customHeight="1">
      <c r="A24" s="2"/>
      <c r="B24" s="2"/>
      <c r="C24" s="2"/>
      <c r="D24" s="2"/>
      <c r="E24" s="2"/>
    </row>
    <row r="25" ht="15.75" customHeight="1">
      <c r="A25" s="21" t="s">
        <v>325</v>
      </c>
      <c r="B25" s="2"/>
      <c r="C25" s="2"/>
      <c r="D25" s="2"/>
      <c r="E25" s="2"/>
    </row>
    <row r="26" ht="15.0" customHeight="1">
      <c r="A26" s="9" t="s">
        <v>326</v>
      </c>
      <c r="B26" s="23" t="s">
        <v>327</v>
      </c>
      <c r="C26" s="24"/>
      <c r="D26" s="25"/>
      <c r="E26" s="9" t="s">
        <v>328</v>
      </c>
    </row>
    <row r="27" ht="15.0" customHeight="1">
      <c r="A27" s="14" t="s">
        <v>329</v>
      </c>
      <c r="B27" s="31" t="s">
        <v>330</v>
      </c>
      <c r="C27" s="24"/>
      <c r="D27" s="25"/>
      <c r="E27" s="14" t="s">
        <v>331</v>
      </c>
    </row>
    <row r="28" ht="23.25" customHeight="1">
      <c r="A28" s="14" t="s">
        <v>332</v>
      </c>
      <c r="B28" s="31" t="s">
        <v>333</v>
      </c>
      <c r="C28" s="24"/>
      <c r="D28" s="25"/>
      <c r="E28" s="14" t="s">
        <v>334</v>
      </c>
    </row>
    <row r="29" ht="23.25" customHeight="1">
      <c r="A29" s="14" t="s">
        <v>335</v>
      </c>
      <c r="B29" s="31" t="s">
        <v>336</v>
      </c>
      <c r="C29" s="24"/>
      <c r="D29" s="25"/>
      <c r="E29" s="14" t="s">
        <v>337</v>
      </c>
    </row>
    <row r="30" ht="23.25" customHeight="1">
      <c r="A30" s="14" t="s">
        <v>338</v>
      </c>
      <c r="B30" s="31" t="s">
        <v>339</v>
      </c>
      <c r="C30" s="24"/>
      <c r="D30" s="25"/>
      <c r="E30" s="14" t="s">
        <v>340</v>
      </c>
    </row>
    <row r="31" ht="15.0" customHeight="1">
      <c r="A31" s="14" t="s">
        <v>341</v>
      </c>
      <c r="B31" s="31" t="s">
        <v>342</v>
      </c>
      <c r="C31" s="24"/>
      <c r="D31" s="25"/>
      <c r="E31" s="14" t="s">
        <v>343</v>
      </c>
    </row>
    <row r="32" ht="15.75" customHeight="1">
      <c r="A32" s="30"/>
      <c r="B32" s="2"/>
      <c r="C32" s="2"/>
      <c r="D32" s="2"/>
      <c r="E32" s="2"/>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A2:E2"/>
    <mergeCell ref="B14:D14"/>
    <mergeCell ref="B15:D15"/>
    <mergeCell ref="B16:D16"/>
    <mergeCell ref="B17:D17"/>
    <mergeCell ref="B18:D18"/>
    <mergeCell ref="B19:D19"/>
    <mergeCell ref="B30:D30"/>
    <mergeCell ref="B31:D31"/>
    <mergeCell ref="B20:D20"/>
    <mergeCell ref="B21:D21"/>
    <mergeCell ref="B22:D22"/>
    <mergeCell ref="B26:D26"/>
    <mergeCell ref="B27:D27"/>
    <mergeCell ref="B28:D28"/>
    <mergeCell ref="B29:D29"/>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4.43" defaultRowHeight="15.0"/>
  <cols>
    <col customWidth="1" min="1" max="1" width="6.0"/>
    <col customWidth="1" min="2" max="2" width="8.0"/>
    <col customWidth="1" min="3" max="3" width="22.0"/>
    <col customWidth="1" min="4" max="4" width="24.0"/>
    <col customWidth="1" min="5" max="5" width="34.0"/>
    <col customWidth="1" min="6" max="6" width="48.0"/>
    <col customWidth="1" min="7" max="7" width="44.0"/>
    <col customWidth="1" min="8" max="8" width="38.0"/>
    <col customWidth="1" min="9" max="9" width="14.0"/>
    <col customWidth="1" min="10" max="10" width="30.0"/>
    <col customWidth="1" min="11" max="11" width="26.0"/>
    <col customWidth="1" min="12" max="12" width="7.0"/>
    <col customWidth="1" min="13" max="13" width="30.0"/>
    <col customWidth="1" min="14" max="14" width="18.0"/>
    <col customWidth="1" min="15" max="25" width="8.71"/>
  </cols>
  <sheetData>
    <row r="1">
      <c r="A1" s="1" t="s">
        <v>0</v>
      </c>
      <c r="B1" s="2"/>
      <c r="C1" s="2"/>
      <c r="D1" s="2"/>
      <c r="E1" s="2"/>
      <c r="F1" s="2"/>
      <c r="G1" s="2"/>
      <c r="H1" s="2"/>
      <c r="I1" s="2"/>
      <c r="J1" s="2"/>
      <c r="K1" s="2"/>
      <c r="L1" s="2"/>
      <c r="M1" s="2"/>
      <c r="N1" s="2"/>
    </row>
    <row r="2" ht="42.0" customHeight="1">
      <c r="A2" s="4" t="s">
        <v>2</v>
      </c>
      <c r="E2" s="2"/>
      <c r="F2" s="2"/>
      <c r="G2" s="2"/>
      <c r="H2" s="2"/>
      <c r="I2" s="2"/>
      <c r="J2" s="2"/>
      <c r="K2" s="2"/>
      <c r="L2" s="2"/>
      <c r="M2" s="2"/>
      <c r="N2" s="2"/>
    </row>
    <row r="3">
      <c r="A3" s="2"/>
      <c r="B3" s="2"/>
      <c r="C3" s="2"/>
      <c r="D3" s="2"/>
      <c r="E3" s="2"/>
      <c r="F3" s="2"/>
      <c r="G3" s="2"/>
      <c r="H3" s="2"/>
      <c r="I3" s="2"/>
      <c r="J3" s="2"/>
      <c r="K3" s="2"/>
      <c r="L3" s="2"/>
      <c r="M3" s="2"/>
      <c r="N3" s="2"/>
    </row>
    <row r="4">
      <c r="A4" s="9" t="s">
        <v>8</v>
      </c>
      <c r="B4" s="9" t="s">
        <v>16</v>
      </c>
      <c r="C4" s="9" t="s">
        <v>17</v>
      </c>
      <c r="D4" s="9" t="s">
        <v>18</v>
      </c>
      <c r="E4" s="9" t="s">
        <v>19</v>
      </c>
      <c r="F4" s="9" t="s">
        <v>22</v>
      </c>
      <c r="G4" s="9" t="s">
        <v>23</v>
      </c>
      <c r="H4" s="9" t="s">
        <v>24</v>
      </c>
      <c r="I4" s="9" t="s">
        <v>26</v>
      </c>
      <c r="J4" s="9" t="s">
        <v>27</v>
      </c>
      <c r="K4" s="9" t="s">
        <v>28</v>
      </c>
      <c r="L4" s="9" t="s">
        <v>30</v>
      </c>
      <c r="M4" s="9" t="s">
        <v>31</v>
      </c>
      <c r="N4" s="9" t="s">
        <v>32</v>
      </c>
    </row>
    <row r="5">
      <c r="A5" s="12" t="s">
        <v>33</v>
      </c>
      <c r="B5" s="12" t="s">
        <v>39</v>
      </c>
      <c r="C5" s="13" t="s">
        <v>41</v>
      </c>
      <c r="D5" s="12" t="s">
        <v>55</v>
      </c>
      <c r="E5" s="12" t="s">
        <v>57</v>
      </c>
      <c r="F5" s="12" t="s">
        <v>58</v>
      </c>
      <c r="G5" s="12" t="s">
        <v>59</v>
      </c>
      <c r="H5" s="12"/>
      <c r="I5" s="12" t="s">
        <v>61</v>
      </c>
      <c r="J5" s="12" t="s">
        <v>62</v>
      </c>
      <c r="K5" s="12"/>
      <c r="L5" s="12">
        <v>0.5</v>
      </c>
      <c r="M5" s="12" t="s">
        <v>63</v>
      </c>
      <c r="N5" s="12" t="s">
        <v>67</v>
      </c>
    </row>
    <row r="6">
      <c r="A6" s="17">
        <v>1.0</v>
      </c>
      <c r="B6" s="17" t="s">
        <v>73</v>
      </c>
      <c r="C6" s="15" t="s">
        <v>74</v>
      </c>
      <c r="D6" s="17" t="s">
        <v>76</v>
      </c>
      <c r="E6" s="17" t="s">
        <v>78</v>
      </c>
      <c r="F6" s="17" t="s">
        <v>80</v>
      </c>
      <c r="G6" s="17" t="s">
        <v>82</v>
      </c>
      <c r="H6" s="17" t="s">
        <v>84</v>
      </c>
      <c r="I6" s="17" t="s">
        <v>61</v>
      </c>
      <c r="J6" s="17" t="s">
        <v>86</v>
      </c>
      <c r="K6" s="17"/>
      <c r="L6" s="17">
        <v>4.0</v>
      </c>
      <c r="M6" s="17" t="s">
        <v>89</v>
      </c>
      <c r="N6" s="17" t="s">
        <v>90</v>
      </c>
    </row>
    <row r="7">
      <c r="A7" s="14">
        <v>2.0</v>
      </c>
      <c r="B7" s="14" t="s">
        <v>73</v>
      </c>
      <c r="C7" s="20" t="s">
        <v>74</v>
      </c>
      <c r="D7" s="14" t="s">
        <v>95</v>
      </c>
      <c r="E7" s="14" t="s">
        <v>97</v>
      </c>
      <c r="F7" s="14" t="s">
        <v>98</v>
      </c>
      <c r="G7" s="14" t="s">
        <v>101</v>
      </c>
      <c r="H7" s="14" t="s">
        <v>103</v>
      </c>
      <c r="I7" s="14" t="s">
        <v>61</v>
      </c>
      <c r="J7" s="14" t="s">
        <v>106</v>
      </c>
      <c r="K7" s="14"/>
      <c r="L7" s="14">
        <v>4.0</v>
      </c>
      <c r="M7" s="14" t="s">
        <v>108</v>
      </c>
      <c r="N7" s="14" t="s">
        <v>90</v>
      </c>
    </row>
    <row r="8">
      <c r="A8" s="17">
        <v>3.0</v>
      </c>
      <c r="B8" s="17" t="s">
        <v>110</v>
      </c>
      <c r="C8" s="15" t="s">
        <v>74</v>
      </c>
      <c r="D8" s="17" t="s">
        <v>113</v>
      </c>
      <c r="E8" s="17" t="s">
        <v>114</v>
      </c>
      <c r="F8" s="17" t="s">
        <v>117</v>
      </c>
      <c r="G8" s="17" t="s">
        <v>119</v>
      </c>
      <c r="H8" s="17" t="s">
        <v>121</v>
      </c>
      <c r="I8" s="17" t="s">
        <v>122</v>
      </c>
      <c r="J8" s="17" t="s">
        <v>124</v>
      </c>
      <c r="K8" s="17"/>
      <c r="L8" s="17">
        <v>4.0</v>
      </c>
      <c r="M8" s="17" t="s">
        <v>127</v>
      </c>
      <c r="N8" s="17" t="s">
        <v>90</v>
      </c>
    </row>
    <row r="9">
      <c r="A9" s="14">
        <v>4.0</v>
      </c>
      <c r="B9" s="14" t="s">
        <v>110</v>
      </c>
      <c r="C9" s="20" t="s">
        <v>74</v>
      </c>
      <c r="D9" s="14" t="s">
        <v>131</v>
      </c>
      <c r="E9" s="14" t="s">
        <v>132</v>
      </c>
      <c r="F9" s="14" t="s">
        <v>134</v>
      </c>
      <c r="G9" s="14" t="s">
        <v>137</v>
      </c>
      <c r="H9" s="14" t="s">
        <v>146</v>
      </c>
      <c r="I9" s="14" t="s">
        <v>122</v>
      </c>
      <c r="J9" s="14" t="s">
        <v>150</v>
      </c>
      <c r="K9" s="14" t="s">
        <v>151</v>
      </c>
      <c r="L9" s="14">
        <v>4.0</v>
      </c>
      <c r="M9" s="14" t="s">
        <v>153</v>
      </c>
      <c r="N9" s="14" t="s">
        <v>90</v>
      </c>
    </row>
    <row r="10">
      <c r="A10" s="17">
        <v>5.0</v>
      </c>
      <c r="B10" s="17" t="s">
        <v>156</v>
      </c>
      <c r="C10" s="15" t="s">
        <v>158</v>
      </c>
      <c r="D10" s="15" t="s">
        <v>159</v>
      </c>
      <c r="E10" s="15" t="s">
        <v>162</v>
      </c>
      <c r="F10" s="15" t="s">
        <v>164</v>
      </c>
      <c r="G10" s="15" t="s">
        <v>166</v>
      </c>
      <c r="H10" s="15" t="s">
        <v>169</v>
      </c>
      <c r="I10" s="15" t="s">
        <v>170</v>
      </c>
      <c r="J10" s="15" t="s">
        <v>173</v>
      </c>
      <c r="K10" s="17"/>
      <c r="L10" s="17">
        <v>4.0</v>
      </c>
      <c r="M10" s="15" t="s">
        <v>175</v>
      </c>
      <c r="N10" s="17" t="s">
        <v>90</v>
      </c>
    </row>
    <row r="11">
      <c r="A11" s="14">
        <v>6.0</v>
      </c>
      <c r="B11" s="14" t="s">
        <v>156</v>
      </c>
      <c r="C11" s="20" t="s">
        <v>158</v>
      </c>
      <c r="D11" s="20" t="s">
        <v>178</v>
      </c>
      <c r="E11" s="20" t="s">
        <v>179</v>
      </c>
      <c r="F11" s="20" t="s">
        <v>182</v>
      </c>
      <c r="G11" s="20" t="s">
        <v>183</v>
      </c>
      <c r="H11" s="20" t="s">
        <v>185</v>
      </c>
      <c r="I11" s="20" t="s">
        <v>186</v>
      </c>
      <c r="J11" s="20" t="s">
        <v>189</v>
      </c>
      <c r="K11" s="14"/>
      <c r="L11" s="14">
        <v>4.0</v>
      </c>
      <c r="M11" s="20" t="s">
        <v>191</v>
      </c>
      <c r="N11" s="14" t="s">
        <v>90</v>
      </c>
    </row>
    <row r="12">
      <c r="A12" s="17">
        <v>7.0</v>
      </c>
      <c r="B12" s="17" t="s">
        <v>194</v>
      </c>
      <c r="C12" s="15" t="s">
        <v>158</v>
      </c>
      <c r="D12" s="15" t="s">
        <v>196</v>
      </c>
      <c r="E12" s="15" t="s">
        <v>200</v>
      </c>
      <c r="F12" s="15" t="s">
        <v>204</v>
      </c>
      <c r="G12" s="15" t="s">
        <v>206</v>
      </c>
      <c r="H12" s="15" t="s">
        <v>207</v>
      </c>
      <c r="I12" s="15" t="s">
        <v>208</v>
      </c>
      <c r="J12" s="15" t="s">
        <v>210</v>
      </c>
      <c r="K12" s="17"/>
      <c r="L12" s="17">
        <v>4.0</v>
      </c>
      <c r="M12" s="15" t="s">
        <v>211</v>
      </c>
      <c r="N12" s="17" t="s">
        <v>90</v>
      </c>
    </row>
    <row r="13">
      <c r="A13" s="14">
        <v>8.0</v>
      </c>
      <c r="B13" s="14" t="s">
        <v>194</v>
      </c>
      <c r="C13" s="20" t="s">
        <v>158</v>
      </c>
      <c r="D13" s="20" t="s">
        <v>213</v>
      </c>
      <c r="E13" s="20" t="s">
        <v>214</v>
      </c>
      <c r="F13" s="20" t="s">
        <v>216</v>
      </c>
      <c r="G13" s="20" t="s">
        <v>218</v>
      </c>
      <c r="H13" s="20" t="s">
        <v>207</v>
      </c>
      <c r="I13" s="20" t="s">
        <v>219</v>
      </c>
      <c r="J13" s="20" t="s">
        <v>220</v>
      </c>
      <c r="K13" s="20" t="s">
        <v>222</v>
      </c>
      <c r="L13" s="14">
        <v>4.0</v>
      </c>
      <c r="M13" s="20" t="s">
        <v>223</v>
      </c>
      <c r="N13" s="14" t="s">
        <v>90</v>
      </c>
    </row>
    <row r="14">
      <c r="A14" s="17">
        <v>9.0</v>
      </c>
      <c r="B14" s="17" t="s">
        <v>226</v>
      </c>
      <c r="C14" s="15" t="s">
        <v>201</v>
      </c>
      <c r="D14" s="15" t="s">
        <v>229</v>
      </c>
      <c r="E14" s="15" t="s">
        <v>231</v>
      </c>
      <c r="F14" s="15" t="s">
        <v>233</v>
      </c>
      <c r="G14" s="15" t="s">
        <v>234</v>
      </c>
      <c r="H14" s="15" t="s">
        <v>207</v>
      </c>
      <c r="I14" s="15" t="s">
        <v>170</v>
      </c>
      <c r="J14" s="15" t="s">
        <v>237</v>
      </c>
      <c r="K14" s="15" t="s">
        <v>238</v>
      </c>
      <c r="L14" s="17">
        <v>4.0</v>
      </c>
      <c r="M14" s="15" t="s">
        <v>240</v>
      </c>
      <c r="N14" s="17" t="s">
        <v>90</v>
      </c>
    </row>
    <row r="15">
      <c r="A15" s="14">
        <v>10.0</v>
      </c>
      <c r="B15" s="14" t="s">
        <v>226</v>
      </c>
      <c r="C15" s="20" t="s">
        <v>201</v>
      </c>
      <c r="D15" s="20" t="s">
        <v>243</v>
      </c>
      <c r="E15" s="20" t="s">
        <v>244</v>
      </c>
      <c r="F15" s="20" t="s">
        <v>246</v>
      </c>
      <c r="G15" s="20" t="s">
        <v>247</v>
      </c>
      <c r="H15" s="20" t="s">
        <v>207</v>
      </c>
      <c r="I15" s="20" t="s">
        <v>248</v>
      </c>
      <c r="J15" s="20" t="s">
        <v>249</v>
      </c>
      <c r="K15" s="20" t="s">
        <v>250</v>
      </c>
      <c r="L15" s="14">
        <v>4.0</v>
      </c>
      <c r="M15" s="20" t="s">
        <v>253</v>
      </c>
      <c r="N15" s="14" t="s">
        <v>90</v>
      </c>
    </row>
    <row r="16">
      <c r="A16" s="17">
        <v>11.0</v>
      </c>
      <c r="B16" s="17" t="s">
        <v>255</v>
      </c>
      <c r="C16" s="15" t="s">
        <v>228</v>
      </c>
      <c r="D16" s="15" t="s">
        <v>258</v>
      </c>
      <c r="E16" s="15" t="s">
        <v>260</v>
      </c>
      <c r="F16" s="15" t="s">
        <v>261</v>
      </c>
      <c r="G16" s="15" t="s">
        <v>263</v>
      </c>
      <c r="H16" s="15" t="s">
        <v>207</v>
      </c>
      <c r="I16" s="15" t="s">
        <v>170</v>
      </c>
      <c r="J16" s="15" t="s">
        <v>264</v>
      </c>
      <c r="K16" s="15" t="s">
        <v>265</v>
      </c>
      <c r="L16" s="17">
        <v>4.0</v>
      </c>
      <c r="M16" s="15" t="s">
        <v>266</v>
      </c>
      <c r="N16" s="17" t="s">
        <v>90</v>
      </c>
    </row>
    <row r="17">
      <c r="A17" s="17">
        <v>12.0</v>
      </c>
      <c r="B17" s="17" t="s">
        <v>255</v>
      </c>
      <c r="C17" s="15" t="s">
        <v>228</v>
      </c>
      <c r="D17" s="15" t="s">
        <v>269</v>
      </c>
      <c r="E17" s="15" t="s">
        <v>271</v>
      </c>
      <c r="F17" s="15" t="s">
        <v>272</v>
      </c>
      <c r="G17" s="15" t="s">
        <v>275</v>
      </c>
      <c r="H17" s="17"/>
      <c r="I17" s="15" t="s">
        <v>277</v>
      </c>
      <c r="J17" s="15" t="s">
        <v>279</v>
      </c>
      <c r="K17" s="15" t="s">
        <v>280</v>
      </c>
      <c r="L17" s="17">
        <v>4.0</v>
      </c>
      <c r="M17" s="15" t="s">
        <v>282</v>
      </c>
      <c r="N17" s="17" t="s">
        <v>90</v>
      </c>
    </row>
    <row r="18">
      <c r="A18" s="2"/>
      <c r="B18" s="2"/>
      <c r="C18" s="2"/>
      <c r="D18" s="2"/>
      <c r="E18" s="2"/>
      <c r="F18" s="2"/>
      <c r="G18" s="2"/>
      <c r="H18" s="2"/>
      <c r="I18" s="2"/>
      <c r="J18" s="2"/>
      <c r="K18" s="2"/>
      <c r="L18" s="2"/>
      <c r="M18" s="2"/>
      <c r="N18" s="2"/>
    </row>
    <row r="19">
      <c r="A19" s="2"/>
      <c r="B19" s="2"/>
      <c r="C19" s="2"/>
      <c r="D19" s="22" t="s">
        <v>288</v>
      </c>
      <c r="E19" s="2"/>
      <c r="F19" s="2"/>
      <c r="G19" s="2"/>
      <c r="H19" s="2"/>
      <c r="I19" s="2"/>
      <c r="J19" s="2"/>
      <c r="K19" s="2"/>
      <c r="L19" s="22">
        <f>COUNTIFS(A5:A17,"&gt;0")</f>
        <v>12</v>
      </c>
      <c r="M19" s="2"/>
      <c r="N19" s="2"/>
    </row>
    <row r="20">
      <c r="A20" s="2"/>
      <c r="B20" s="2"/>
      <c r="C20" s="2"/>
      <c r="D20" s="22" t="s">
        <v>302</v>
      </c>
      <c r="E20" s="2"/>
      <c r="F20" s="2"/>
      <c r="G20" s="2"/>
      <c r="H20" s="2"/>
      <c r="I20" s="2"/>
      <c r="J20" s="2"/>
      <c r="K20" s="2"/>
      <c r="L20" s="22">
        <f>SUMIFS(L5:L17,A5:A17,"&gt;0")</f>
        <v>48</v>
      </c>
      <c r="M20" s="2"/>
      <c r="N20" s="2"/>
    </row>
    <row r="21" ht="15.75" customHeight="1">
      <c r="A21" s="2"/>
      <c r="B21" s="2"/>
      <c r="C21" s="2"/>
      <c r="D21" s="22" t="s">
        <v>309</v>
      </c>
      <c r="E21" s="2"/>
      <c r="F21" s="2"/>
      <c r="G21" s="2"/>
      <c r="H21" s="2"/>
      <c r="I21" s="2"/>
      <c r="J21" s="2"/>
      <c r="K21" s="2"/>
      <c r="L21" s="22">
        <f>SUMIFS(L5:L17,A5:A17,"D0")</f>
        <v>0.5</v>
      </c>
      <c r="M21" s="2"/>
      <c r="N21" s="2"/>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D2"/>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4.43" defaultRowHeight="15.0"/>
  <cols>
    <col customWidth="1" min="1" max="1" width="6.0"/>
    <col customWidth="1" min="2" max="2" width="5.0"/>
    <col customWidth="1" min="3" max="3" width="34.57"/>
    <col customWidth="1" min="4" max="4" width="34.0"/>
    <col customWidth="1" min="5" max="5" width="42.0"/>
    <col customWidth="1" min="6" max="6" width="30.0"/>
    <col customWidth="1" min="7" max="7" width="28.0"/>
    <col customWidth="1" min="8" max="8" width="34.0"/>
    <col customWidth="1" min="9" max="9" width="30.0"/>
    <col customWidth="1" min="10" max="10" width="12.0"/>
    <col customWidth="1" min="11" max="11" width="14.0"/>
    <col customWidth="1" min="12" max="12" width="43.0"/>
    <col customWidth="1" min="13" max="25" width="8.71"/>
  </cols>
  <sheetData>
    <row r="1">
      <c r="A1" s="3" t="s">
        <v>5</v>
      </c>
      <c r="B1" s="2"/>
      <c r="C1" s="2"/>
      <c r="D1" s="2"/>
      <c r="E1" s="2"/>
      <c r="F1" s="2"/>
      <c r="G1" s="2"/>
      <c r="H1" s="2"/>
      <c r="I1" s="2"/>
      <c r="J1" s="2"/>
      <c r="K1" s="2"/>
    </row>
    <row r="2" ht="42.0" customHeight="1">
      <c r="A2" s="10" t="s">
        <v>14</v>
      </c>
      <c r="F2" s="2"/>
      <c r="G2" s="2"/>
      <c r="H2" s="2"/>
      <c r="I2" s="2"/>
      <c r="J2" s="2"/>
      <c r="K2" s="2"/>
    </row>
    <row r="3">
      <c r="A3" s="2"/>
      <c r="B3" s="2"/>
      <c r="C3" s="2"/>
      <c r="D3" s="2"/>
      <c r="E3" s="2"/>
      <c r="F3" s="2"/>
      <c r="G3" s="2"/>
      <c r="H3" s="2"/>
      <c r="I3" s="2"/>
      <c r="J3" s="2"/>
      <c r="K3" s="2"/>
    </row>
    <row r="4">
      <c r="A4" s="9" t="s">
        <v>43</v>
      </c>
      <c r="B4" s="9" t="s">
        <v>8</v>
      </c>
      <c r="C4" s="9" t="s">
        <v>45</v>
      </c>
      <c r="D4" s="9" t="s">
        <v>48</v>
      </c>
      <c r="E4" s="9" t="s">
        <v>50</v>
      </c>
      <c r="F4" s="9" t="s">
        <v>52</v>
      </c>
      <c r="G4" s="9" t="s">
        <v>54</v>
      </c>
      <c r="H4" s="16" t="s">
        <v>56</v>
      </c>
      <c r="I4" s="9" t="s">
        <v>24</v>
      </c>
      <c r="J4" s="9" t="s">
        <v>66</v>
      </c>
      <c r="K4" s="9" t="s">
        <v>68</v>
      </c>
      <c r="L4" s="9" t="s">
        <v>70</v>
      </c>
    </row>
    <row r="5">
      <c r="A5" s="17" t="s">
        <v>72</v>
      </c>
      <c r="B5" s="17">
        <v>1.0</v>
      </c>
      <c r="C5" s="15" t="s">
        <v>75</v>
      </c>
      <c r="D5" s="17" t="s">
        <v>79</v>
      </c>
      <c r="E5" s="15" t="s">
        <v>81</v>
      </c>
      <c r="F5" s="15" t="s">
        <v>83</v>
      </c>
      <c r="G5" s="17" t="s">
        <v>85</v>
      </c>
      <c r="H5" s="15" t="s">
        <v>87</v>
      </c>
      <c r="I5" s="17" t="s">
        <v>88</v>
      </c>
      <c r="J5" s="17" t="s">
        <v>65</v>
      </c>
      <c r="K5" s="17" t="s">
        <v>91</v>
      </c>
      <c r="L5" s="19" t="s">
        <v>92</v>
      </c>
    </row>
    <row r="6">
      <c r="A6" s="17" t="s">
        <v>93</v>
      </c>
      <c r="B6" s="17">
        <v>2.0</v>
      </c>
      <c r="C6" s="17" t="s">
        <v>94</v>
      </c>
      <c r="D6" s="17" t="s">
        <v>96</v>
      </c>
      <c r="E6" s="15" t="s">
        <v>99</v>
      </c>
      <c r="F6" s="15" t="s">
        <v>100</v>
      </c>
      <c r="G6" s="17" t="s">
        <v>102</v>
      </c>
      <c r="H6" s="15" t="s">
        <v>104</v>
      </c>
      <c r="I6" s="17" t="s">
        <v>105</v>
      </c>
      <c r="J6" s="17" t="s">
        <v>72</v>
      </c>
      <c r="K6" s="17" t="s">
        <v>107</v>
      </c>
      <c r="L6" s="19" t="s">
        <v>109</v>
      </c>
    </row>
    <row r="7">
      <c r="A7" s="17" t="s">
        <v>107</v>
      </c>
      <c r="B7" s="17">
        <v>3.0</v>
      </c>
      <c r="C7" s="17" t="s">
        <v>111</v>
      </c>
      <c r="D7" s="17" t="s">
        <v>112</v>
      </c>
      <c r="E7" s="17" t="s">
        <v>116</v>
      </c>
      <c r="F7" s="17" t="s">
        <v>118</v>
      </c>
      <c r="G7" s="17" t="s">
        <v>120</v>
      </c>
      <c r="H7" s="17" t="s">
        <v>123</v>
      </c>
      <c r="I7" s="17" t="s">
        <v>125</v>
      </c>
      <c r="J7" s="17" t="s">
        <v>42</v>
      </c>
      <c r="K7" s="17" t="s">
        <v>128</v>
      </c>
      <c r="L7" s="19" t="s">
        <v>129</v>
      </c>
    </row>
    <row r="8">
      <c r="A8" s="17" t="s">
        <v>128</v>
      </c>
      <c r="B8" s="17">
        <v>4.0</v>
      </c>
      <c r="C8" s="17" t="s">
        <v>133</v>
      </c>
      <c r="D8" s="17" t="s">
        <v>135</v>
      </c>
      <c r="E8" s="17" t="s">
        <v>138</v>
      </c>
      <c r="F8" s="17" t="s">
        <v>139</v>
      </c>
      <c r="G8" s="17" t="s">
        <v>140</v>
      </c>
      <c r="H8" s="17" t="s">
        <v>143</v>
      </c>
      <c r="I8" s="17" t="s">
        <v>144</v>
      </c>
      <c r="J8" s="17" t="s">
        <v>107</v>
      </c>
      <c r="K8" s="17" t="s">
        <v>145</v>
      </c>
      <c r="L8" s="19" t="s">
        <v>147</v>
      </c>
    </row>
    <row r="9">
      <c r="A9" s="17" t="s">
        <v>149</v>
      </c>
      <c r="B9" s="17">
        <v>5.0</v>
      </c>
      <c r="C9" s="15" t="s">
        <v>152</v>
      </c>
      <c r="D9" s="15" t="s">
        <v>154</v>
      </c>
      <c r="E9" s="15" t="s">
        <v>157</v>
      </c>
      <c r="F9" s="15" t="s">
        <v>160</v>
      </c>
      <c r="G9" s="15" t="s">
        <v>163</v>
      </c>
      <c r="H9" s="15" t="s">
        <v>165</v>
      </c>
      <c r="I9" s="15" t="s">
        <v>168</v>
      </c>
      <c r="J9" s="15" t="s">
        <v>128</v>
      </c>
      <c r="K9" s="15" t="s">
        <v>171</v>
      </c>
      <c r="L9" s="19" t="s">
        <v>174</v>
      </c>
    </row>
    <row r="10">
      <c r="A10" s="17" t="s">
        <v>167</v>
      </c>
      <c r="B10" s="17">
        <v>6.0</v>
      </c>
      <c r="C10" s="15" t="s">
        <v>177</v>
      </c>
      <c r="D10" s="15" t="s">
        <v>181</v>
      </c>
      <c r="E10" s="15" t="s">
        <v>184</v>
      </c>
      <c r="F10" s="15" t="s">
        <v>188</v>
      </c>
      <c r="G10" s="15" t="s">
        <v>190</v>
      </c>
      <c r="H10" s="15" t="s">
        <v>192</v>
      </c>
      <c r="I10" s="15" t="s">
        <v>195</v>
      </c>
      <c r="J10" s="15" t="s">
        <v>149</v>
      </c>
      <c r="K10" s="15" t="s">
        <v>198</v>
      </c>
      <c r="L10" s="19" t="s">
        <v>202</v>
      </c>
    </row>
    <row r="11">
      <c r="A11" s="17" t="s">
        <v>205</v>
      </c>
      <c r="B11" s="17">
        <v>7.0</v>
      </c>
      <c r="C11" s="15" t="s">
        <v>209</v>
      </c>
      <c r="D11" s="15" t="s">
        <v>207</v>
      </c>
      <c r="E11" s="15" t="s">
        <v>212</v>
      </c>
      <c r="F11" s="15" t="s">
        <v>207</v>
      </c>
      <c r="G11" s="15" t="s">
        <v>207</v>
      </c>
      <c r="H11" s="15" t="s">
        <v>207</v>
      </c>
      <c r="I11" s="17"/>
      <c r="J11" s="15" t="s">
        <v>215</v>
      </c>
      <c r="K11" s="15" t="s">
        <v>217</v>
      </c>
      <c r="L11" s="19" t="s">
        <v>207</v>
      </c>
    </row>
    <row r="12">
      <c r="A12" s="17" t="s">
        <v>221</v>
      </c>
      <c r="B12" s="17">
        <v>8.0</v>
      </c>
      <c r="C12" s="15" t="s">
        <v>224</v>
      </c>
      <c r="D12" s="15" t="s">
        <v>207</v>
      </c>
      <c r="E12" s="15" t="s">
        <v>227</v>
      </c>
      <c r="F12" s="15" t="s">
        <v>207</v>
      </c>
      <c r="G12" s="15" t="s">
        <v>207</v>
      </c>
      <c r="H12" s="15" t="s">
        <v>207</v>
      </c>
      <c r="I12" s="17"/>
      <c r="J12" s="15" t="s">
        <v>205</v>
      </c>
      <c r="K12" s="15" t="s">
        <v>235</v>
      </c>
      <c r="L12" s="19" t="s">
        <v>207</v>
      </c>
    </row>
    <row r="13">
      <c r="A13" s="17" t="s">
        <v>239</v>
      </c>
      <c r="B13" s="17">
        <v>9.0</v>
      </c>
      <c r="C13" s="15" t="s">
        <v>242</v>
      </c>
      <c r="D13" s="15" t="s">
        <v>207</v>
      </c>
      <c r="E13" s="15" t="s">
        <v>245</v>
      </c>
      <c r="F13" s="15" t="s">
        <v>207</v>
      </c>
      <c r="G13" s="15" t="s">
        <v>207</v>
      </c>
      <c r="H13" s="15" t="s">
        <v>207</v>
      </c>
      <c r="I13" s="17"/>
      <c r="J13" s="15" t="s">
        <v>252</v>
      </c>
      <c r="K13" s="15" t="s">
        <v>254</v>
      </c>
      <c r="L13" s="19" t="s">
        <v>207</v>
      </c>
    </row>
    <row r="14">
      <c r="A14" s="17" t="s">
        <v>256</v>
      </c>
      <c r="B14" s="17">
        <v>10.0</v>
      </c>
      <c r="C14" s="15" t="s">
        <v>259</v>
      </c>
      <c r="D14" s="15" t="s">
        <v>207</v>
      </c>
      <c r="E14" s="15" t="s">
        <v>262</v>
      </c>
      <c r="F14" s="15" t="s">
        <v>207</v>
      </c>
      <c r="G14" s="15" t="s">
        <v>207</v>
      </c>
      <c r="H14" s="15" t="s">
        <v>207</v>
      </c>
      <c r="I14" s="17"/>
      <c r="J14" s="15" t="s">
        <v>267</v>
      </c>
      <c r="K14" s="15" t="s">
        <v>235</v>
      </c>
      <c r="L14" s="19" t="s">
        <v>207</v>
      </c>
    </row>
    <row r="15">
      <c r="A15" s="17" t="s">
        <v>270</v>
      </c>
      <c r="B15" s="17">
        <v>11.0</v>
      </c>
      <c r="C15" s="15" t="s">
        <v>273</v>
      </c>
      <c r="D15" s="15" t="s">
        <v>207</v>
      </c>
      <c r="E15" s="15" t="s">
        <v>278</v>
      </c>
      <c r="F15" s="15" t="s">
        <v>207</v>
      </c>
      <c r="G15" s="15" t="s">
        <v>207</v>
      </c>
      <c r="H15" s="15" t="s">
        <v>207</v>
      </c>
      <c r="I15" s="17"/>
      <c r="J15" s="15" t="s">
        <v>284</v>
      </c>
      <c r="K15" s="15" t="s">
        <v>235</v>
      </c>
      <c r="L15" s="19" t="s">
        <v>207</v>
      </c>
    </row>
    <row r="16">
      <c r="A16" s="17" t="s">
        <v>235</v>
      </c>
      <c r="B16" s="17">
        <v>12.0</v>
      </c>
      <c r="C16" s="15" t="s">
        <v>269</v>
      </c>
      <c r="D16" s="15" t="s">
        <v>207</v>
      </c>
      <c r="E16" s="15" t="s">
        <v>290</v>
      </c>
      <c r="F16" s="15" t="s">
        <v>207</v>
      </c>
      <c r="G16" s="15" t="s">
        <v>292</v>
      </c>
      <c r="H16" s="15" t="s">
        <v>293</v>
      </c>
      <c r="I16" s="17"/>
      <c r="J16" s="15" t="s">
        <v>277</v>
      </c>
      <c r="K16" s="17"/>
      <c r="L16" s="19" t="s">
        <v>207</v>
      </c>
    </row>
    <row r="17">
      <c r="A17" s="2"/>
      <c r="B17" s="2"/>
      <c r="C17" s="2"/>
      <c r="D17" s="2"/>
      <c r="E17" s="2"/>
      <c r="F17" s="2"/>
      <c r="G17" s="2"/>
      <c r="H17" s="2"/>
      <c r="I17" s="2"/>
      <c r="J17" s="2"/>
      <c r="K17" s="2"/>
      <c r="L17" s="19" t="s">
        <v>299</v>
      </c>
    </row>
    <row r="18" ht="15.75" customHeight="1"/>
    <row r="19" ht="15.75" customHeight="1">
      <c r="A19" s="27"/>
      <c r="B19" s="27"/>
      <c r="C19" s="27"/>
      <c r="D19" s="27"/>
      <c r="E19" s="27"/>
      <c r="F19" s="27"/>
      <c r="G19" s="27"/>
      <c r="H19" s="27"/>
      <c r="I19" s="27"/>
      <c r="J19" s="27"/>
      <c r="K19" s="27"/>
    </row>
    <row r="20" ht="15.75" customHeight="1"/>
    <row r="21" ht="15.75" customHeight="1"/>
    <row r="22" ht="15.75" customHeight="1"/>
    <row r="23" ht="15.75" customHeight="1"/>
    <row r="24" ht="15.75" customHeight="1"/>
    <row r="25" ht="15.75" customHeight="1"/>
    <row r="26" ht="15.75" customHeight="1"/>
    <row r="27" ht="15.75" customHeight="1"/>
    <row r="28" ht="15.75" customHeight="1">
      <c r="C28" s="29"/>
    </row>
    <row r="29" ht="15.75" customHeight="1">
      <c r="C29" s="29"/>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1">
    <mergeCell ref="A2:E2"/>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0"/>
    <col customWidth="1" min="2" max="2" width="70.0"/>
    <col customWidth="1" min="3" max="3" width="14.0"/>
    <col customWidth="1" min="4" max="26" width="8.71"/>
  </cols>
  <sheetData>
    <row r="1">
      <c r="A1" s="3" t="s">
        <v>1</v>
      </c>
      <c r="B1" s="2"/>
      <c r="C1" s="2"/>
      <c r="D1" s="2"/>
      <c r="E1" s="2"/>
    </row>
    <row r="2">
      <c r="A2" s="5" t="s">
        <v>3</v>
      </c>
    </row>
    <row r="3">
      <c r="A3" s="2"/>
      <c r="B3" s="2"/>
      <c r="C3" s="2"/>
      <c r="D3" s="2"/>
      <c r="E3" s="2"/>
    </row>
    <row r="4">
      <c r="A4" s="6" t="s">
        <v>6</v>
      </c>
      <c r="B4" s="2"/>
      <c r="C4" s="2"/>
      <c r="D4" s="2"/>
      <c r="E4" s="2"/>
    </row>
    <row r="5">
      <c r="A5" s="7" t="s">
        <v>7</v>
      </c>
      <c r="B5" s="8" t="s">
        <v>9</v>
      </c>
      <c r="C5" s="2"/>
      <c r="D5" s="2"/>
      <c r="E5" s="2"/>
    </row>
    <row r="6">
      <c r="A6" s="7" t="s">
        <v>11</v>
      </c>
      <c r="B6" s="8" t="s">
        <v>12</v>
      </c>
      <c r="C6" s="2"/>
      <c r="D6" s="2"/>
      <c r="E6" s="2"/>
    </row>
    <row r="7">
      <c r="A7" s="7" t="s">
        <v>13</v>
      </c>
      <c r="B7" s="8" t="s">
        <v>15</v>
      </c>
      <c r="C7" s="2"/>
      <c r="D7" s="2"/>
      <c r="E7" s="2"/>
    </row>
    <row r="8">
      <c r="A8" s="7" t="s">
        <v>20</v>
      </c>
      <c r="B8" s="8" t="s">
        <v>21</v>
      </c>
      <c r="C8" s="2"/>
      <c r="D8" s="2"/>
      <c r="E8" s="2"/>
    </row>
    <row r="9">
      <c r="A9" s="7" t="s">
        <v>25</v>
      </c>
      <c r="B9" s="11" t="s">
        <v>29</v>
      </c>
      <c r="C9" s="2"/>
      <c r="D9" s="2"/>
      <c r="E9" s="2"/>
    </row>
    <row r="10">
      <c r="A10" s="7" t="s">
        <v>34</v>
      </c>
      <c r="B10" s="11" t="s">
        <v>36</v>
      </c>
      <c r="C10" s="2"/>
      <c r="D10" s="2"/>
      <c r="E10" s="2"/>
    </row>
    <row r="11">
      <c r="A11" s="7" t="s">
        <v>37</v>
      </c>
      <c r="B11" s="8" t="s">
        <v>38</v>
      </c>
      <c r="C11" s="2"/>
      <c r="D11" s="2"/>
      <c r="E11" s="2"/>
    </row>
    <row r="12">
      <c r="A12" s="7" t="s">
        <v>40</v>
      </c>
      <c r="B12" s="8" t="s">
        <v>42</v>
      </c>
      <c r="C12" s="2"/>
      <c r="D12" s="2"/>
      <c r="E12" s="2"/>
    </row>
    <row r="13">
      <c r="A13" s="9" t="s">
        <v>46</v>
      </c>
      <c r="B13" s="9" t="s">
        <v>49</v>
      </c>
      <c r="C13" s="9" t="s">
        <v>53</v>
      </c>
      <c r="D13" s="2"/>
      <c r="E13" s="2"/>
    </row>
    <row r="14">
      <c r="A14" s="14"/>
      <c r="B14" s="14" t="s">
        <v>60</v>
      </c>
      <c r="C14" s="14">
        <v>25.0</v>
      </c>
      <c r="D14" s="2"/>
      <c r="E14" s="2"/>
    </row>
    <row r="15">
      <c r="A15" s="14"/>
      <c r="B15" s="14" t="s">
        <v>64</v>
      </c>
      <c r="C15" s="14">
        <v>25.0</v>
      </c>
      <c r="D15" s="2"/>
      <c r="E15" s="2"/>
    </row>
    <row r="16">
      <c r="A16" s="14"/>
      <c r="B16" s="14" t="s">
        <v>69</v>
      </c>
      <c r="C16" s="14">
        <v>30.0</v>
      </c>
      <c r="D16" s="2"/>
      <c r="E16" s="2"/>
    </row>
    <row r="17">
      <c r="A17" s="14"/>
      <c r="B17" s="14" t="s">
        <v>71</v>
      </c>
      <c r="C17" s="14">
        <v>20.0</v>
      </c>
      <c r="D17" s="2"/>
      <c r="E17" s="2"/>
    </row>
    <row r="18">
      <c r="A18" s="18"/>
      <c r="B18" s="18" t="s">
        <v>77</v>
      </c>
      <c r="C18" s="18">
        <f>SUM(C14:C17)</f>
        <v>100</v>
      </c>
      <c r="D18" s="2"/>
      <c r="E18" s="2"/>
    </row>
    <row r="19">
      <c r="A19" s="2"/>
      <c r="B19" s="2"/>
      <c r="C19" s="2"/>
      <c r="D19" s="2"/>
      <c r="E19" s="2"/>
    </row>
    <row r="20">
      <c r="A20" s="21" t="s">
        <v>115</v>
      </c>
      <c r="B20" s="2"/>
      <c r="C20" s="2"/>
      <c r="D20" s="2"/>
      <c r="E20" s="2"/>
    </row>
    <row r="21" ht="15.75" customHeight="1">
      <c r="A21" s="7" t="s">
        <v>7</v>
      </c>
      <c r="B21" s="11" t="s">
        <v>126</v>
      </c>
      <c r="C21" s="2"/>
      <c r="D21" s="2"/>
      <c r="E21" s="2"/>
    </row>
    <row r="22" ht="15.75" customHeight="1">
      <c r="A22" s="7" t="s">
        <v>11</v>
      </c>
      <c r="B22" s="11" t="s">
        <v>130</v>
      </c>
      <c r="C22" s="2"/>
      <c r="D22" s="2"/>
      <c r="E22" s="2"/>
    </row>
    <row r="23" ht="15.75" customHeight="1">
      <c r="A23" s="7" t="s">
        <v>13</v>
      </c>
      <c r="B23" s="11" t="s">
        <v>15</v>
      </c>
      <c r="C23" s="2"/>
      <c r="D23" s="2"/>
      <c r="E23" s="2"/>
    </row>
    <row r="24" ht="15.75" customHeight="1">
      <c r="A24" s="7" t="s">
        <v>20</v>
      </c>
      <c r="B24" s="11" t="s">
        <v>142</v>
      </c>
      <c r="C24" s="2"/>
      <c r="D24" s="2"/>
      <c r="E24" s="2"/>
    </row>
    <row r="25" ht="15.75" customHeight="1">
      <c r="A25" s="7" t="s">
        <v>25</v>
      </c>
      <c r="B25" s="11" t="s">
        <v>148</v>
      </c>
      <c r="C25" s="2"/>
      <c r="D25" s="2"/>
      <c r="E25" s="2"/>
    </row>
    <row r="26" ht="15.75" customHeight="1">
      <c r="A26" s="7" t="s">
        <v>34</v>
      </c>
      <c r="B26" s="11" t="s">
        <v>155</v>
      </c>
      <c r="C26" s="2"/>
      <c r="D26" s="2"/>
      <c r="E26" s="2"/>
    </row>
    <row r="27" ht="15.75" customHeight="1">
      <c r="A27" s="7" t="s">
        <v>37</v>
      </c>
      <c r="B27" s="11" t="s">
        <v>161</v>
      </c>
      <c r="C27" s="2"/>
      <c r="D27" s="2"/>
      <c r="E27" s="2"/>
    </row>
    <row r="28" ht="15.75" customHeight="1">
      <c r="A28" s="7" t="s">
        <v>40</v>
      </c>
      <c r="B28" s="11" t="s">
        <v>167</v>
      </c>
      <c r="C28" s="2"/>
      <c r="D28" s="2"/>
      <c r="E28" s="2"/>
    </row>
    <row r="29" ht="15.75" customHeight="1">
      <c r="A29" s="9" t="s">
        <v>46</v>
      </c>
      <c r="B29" s="9" t="s">
        <v>49</v>
      </c>
      <c r="C29" s="9" t="s">
        <v>53</v>
      </c>
      <c r="D29" s="2"/>
      <c r="E29" s="2"/>
    </row>
    <row r="30" ht="15.75" customHeight="1">
      <c r="A30" s="14"/>
      <c r="B30" s="20" t="s">
        <v>180</v>
      </c>
      <c r="C30" s="14">
        <v>30.0</v>
      </c>
      <c r="D30" s="2"/>
      <c r="E30" s="2"/>
    </row>
    <row r="31" ht="15.75" customHeight="1">
      <c r="A31" s="14"/>
      <c r="B31" s="20" t="s">
        <v>187</v>
      </c>
      <c r="C31" s="14">
        <v>20.0</v>
      </c>
      <c r="D31" s="2"/>
      <c r="E31" s="2"/>
    </row>
    <row r="32" ht="15.75" customHeight="1">
      <c r="A32" s="14"/>
      <c r="B32" s="20" t="s">
        <v>193</v>
      </c>
      <c r="C32" s="14">
        <v>30.0</v>
      </c>
      <c r="D32" s="2"/>
      <c r="E32" s="2"/>
    </row>
    <row r="33" ht="15.75" customHeight="1">
      <c r="A33" s="14"/>
      <c r="B33" s="20" t="s">
        <v>199</v>
      </c>
      <c r="C33" s="14">
        <v>20.0</v>
      </c>
      <c r="D33" s="2"/>
      <c r="E33" s="2"/>
    </row>
    <row r="34" ht="15.75" customHeight="1">
      <c r="A34" s="18"/>
      <c r="B34" s="18" t="s">
        <v>77</v>
      </c>
      <c r="C34" s="18">
        <f>SUM(C30:C33)</f>
        <v>100</v>
      </c>
      <c r="D34" s="2"/>
      <c r="E34" s="2"/>
    </row>
    <row r="35" ht="15.75" customHeight="1">
      <c r="A35" s="2"/>
      <c r="B35" s="2"/>
      <c r="C35" s="2"/>
      <c r="D35" s="2"/>
      <c r="E35" s="2"/>
    </row>
    <row r="36" ht="15.75" customHeight="1">
      <c r="A36" s="6" t="s">
        <v>232</v>
      </c>
      <c r="B36" s="2"/>
      <c r="C36" s="2"/>
      <c r="D36" s="2"/>
      <c r="E36" s="2"/>
    </row>
    <row r="37" ht="15.75" customHeight="1">
      <c r="A37" s="7" t="s">
        <v>7</v>
      </c>
      <c r="B37" s="8" t="s">
        <v>236</v>
      </c>
      <c r="C37" s="2"/>
      <c r="D37" s="2"/>
      <c r="E37" s="2"/>
    </row>
    <row r="38" ht="15.75" customHeight="1">
      <c r="A38" s="7" t="s">
        <v>11</v>
      </c>
      <c r="B38" s="8" t="s">
        <v>241</v>
      </c>
      <c r="C38" s="2"/>
      <c r="D38" s="2"/>
      <c r="E38" s="2"/>
    </row>
    <row r="39" ht="15.75" customHeight="1">
      <c r="A39" s="7" t="s">
        <v>13</v>
      </c>
      <c r="B39" s="8" t="s">
        <v>268</v>
      </c>
      <c r="C39" s="2"/>
      <c r="D39" s="2"/>
      <c r="E39" s="2"/>
    </row>
    <row r="40" ht="15.75" customHeight="1">
      <c r="A40" s="7" t="s">
        <v>20</v>
      </c>
      <c r="B40" s="8" t="s">
        <v>274</v>
      </c>
      <c r="C40" s="2"/>
      <c r="D40" s="2"/>
      <c r="E40" s="2"/>
    </row>
    <row r="41" ht="15.75" customHeight="1">
      <c r="A41" s="7" t="s">
        <v>25</v>
      </c>
      <c r="B41" s="11" t="s">
        <v>281</v>
      </c>
      <c r="C41" s="2"/>
      <c r="D41" s="2"/>
      <c r="E41" s="2"/>
    </row>
    <row r="42" ht="15.75" customHeight="1">
      <c r="A42" s="7" t="s">
        <v>34</v>
      </c>
      <c r="B42" s="11" t="s">
        <v>285</v>
      </c>
      <c r="C42" s="2"/>
      <c r="D42" s="2"/>
      <c r="E42" s="2"/>
    </row>
    <row r="43" ht="15.75" customHeight="1">
      <c r="A43" s="7" t="s">
        <v>37</v>
      </c>
      <c r="B43" s="11" t="s">
        <v>289</v>
      </c>
      <c r="C43" s="2"/>
      <c r="D43" s="2"/>
      <c r="E43" s="2"/>
    </row>
    <row r="44" ht="15.75" customHeight="1">
      <c r="A44" s="7" t="s">
        <v>40</v>
      </c>
      <c r="B44" s="11" t="s">
        <v>291</v>
      </c>
      <c r="C44" s="2"/>
      <c r="D44" s="2"/>
      <c r="E44" s="2"/>
    </row>
    <row r="45" ht="15.75" customHeight="1">
      <c r="A45" s="9" t="s">
        <v>46</v>
      </c>
      <c r="B45" s="9" t="s">
        <v>49</v>
      </c>
      <c r="C45" s="9" t="s">
        <v>53</v>
      </c>
      <c r="D45" s="2"/>
      <c r="E45" s="2"/>
    </row>
    <row r="46" ht="15.75" customHeight="1">
      <c r="A46" s="14"/>
      <c r="B46" s="14" t="s">
        <v>294</v>
      </c>
      <c r="C46" s="14">
        <v>20.0</v>
      </c>
      <c r="D46" s="2"/>
      <c r="E46" s="2"/>
    </row>
    <row r="47" ht="15.75" customHeight="1">
      <c r="A47" s="14"/>
      <c r="B47" s="14" t="s">
        <v>295</v>
      </c>
      <c r="C47" s="14">
        <v>25.0</v>
      </c>
      <c r="D47" s="2"/>
      <c r="E47" s="2"/>
    </row>
    <row r="48" ht="15.75" customHeight="1">
      <c r="A48" s="14"/>
      <c r="B48" s="14" t="s">
        <v>297</v>
      </c>
      <c r="C48" s="14">
        <v>30.0</v>
      </c>
      <c r="D48" s="2"/>
      <c r="E48" s="2"/>
    </row>
    <row r="49" ht="15.75" customHeight="1">
      <c r="A49" s="14"/>
      <c r="B49" s="14" t="s">
        <v>301</v>
      </c>
      <c r="C49" s="14">
        <v>25.0</v>
      </c>
      <c r="D49" s="2"/>
      <c r="E49" s="2"/>
    </row>
    <row r="50" ht="15.75" customHeight="1">
      <c r="A50" s="18"/>
      <c r="B50" s="18" t="s">
        <v>77</v>
      </c>
      <c r="C50" s="18">
        <f>SUM(C46:C49)</f>
        <v>100</v>
      </c>
      <c r="D50" s="2"/>
      <c r="E50" s="2"/>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E2"/>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4.43" defaultRowHeight="15.0"/>
  <cols>
    <col customWidth="1" min="1" max="1" width="6.0"/>
    <col customWidth="1" min="2" max="2" width="5.0"/>
    <col customWidth="1" min="3" max="3" width="28.0"/>
    <col customWidth="1" min="4" max="4" width="14.0"/>
    <col customWidth="1" min="5" max="5" width="60.0"/>
    <col customWidth="1" min="6" max="6" width="48.0"/>
    <col customWidth="1" min="7" max="7" width="40.0"/>
    <col customWidth="1" min="8" max="8" width="14.0"/>
    <col customWidth="1" min="9" max="9" width="36.0"/>
    <col customWidth="1" min="10" max="10" width="50.0"/>
    <col customWidth="1" min="11" max="11" width="40.0"/>
    <col customWidth="1" min="12" max="26" width="8.71"/>
  </cols>
  <sheetData>
    <row r="1">
      <c r="A1" s="3" t="s">
        <v>344</v>
      </c>
      <c r="B1" s="2"/>
      <c r="C1" s="2"/>
      <c r="D1" s="2"/>
      <c r="E1" s="2"/>
      <c r="F1" s="2"/>
      <c r="G1" s="2"/>
      <c r="H1" s="2"/>
      <c r="I1" s="2"/>
      <c r="J1" s="2"/>
      <c r="K1" s="2"/>
    </row>
    <row r="2" ht="42.0" customHeight="1">
      <c r="A2" s="4" t="s">
        <v>345</v>
      </c>
      <c r="F2" s="2"/>
      <c r="G2" s="2"/>
      <c r="H2" s="2"/>
      <c r="I2" s="2"/>
      <c r="J2" s="2"/>
      <c r="K2" s="2"/>
    </row>
    <row r="3">
      <c r="A3" s="2"/>
      <c r="B3" s="2"/>
      <c r="C3" s="2"/>
      <c r="D3" s="2"/>
      <c r="E3" s="2"/>
      <c r="F3" s="2"/>
      <c r="G3" s="2"/>
      <c r="H3" s="2"/>
      <c r="I3" s="2"/>
      <c r="J3" s="2"/>
      <c r="K3" s="2"/>
    </row>
    <row r="4">
      <c r="A4" s="9" t="s">
        <v>346</v>
      </c>
      <c r="B4" s="9" t="s">
        <v>8</v>
      </c>
      <c r="C4" s="9" t="s">
        <v>347</v>
      </c>
      <c r="D4" s="9" t="s">
        <v>348</v>
      </c>
      <c r="E4" s="9" t="s">
        <v>349</v>
      </c>
      <c r="F4" s="9" t="s">
        <v>350</v>
      </c>
      <c r="G4" s="9" t="s">
        <v>351</v>
      </c>
      <c r="H4" s="9" t="s">
        <v>352</v>
      </c>
      <c r="I4" s="9" t="s">
        <v>353</v>
      </c>
      <c r="J4" s="9" t="s">
        <v>354</v>
      </c>
      <c r="K4" s="9" t="s">
        <v>355</v>
      </c>
    </row>
    <row r="5">
      <c r="A5" s="17" t="s">
        <v>151</v>
      </c>
      <c r="B5" s="17">
        <v>4.0</v>
      </c>
      <c r="C5" s="17" t="s">
        <v>356</v>
      </c>
      <c r="D5" s="17" t="s">
        <v>357</v>
      </c>
      <c r="E5" s="17" t="s">
        <v>358</v>
      </c>
      <c r="F5" s="17" t="s">
        <v>359</v>
      </c>
      <c r="G5" s="17" t="s">
        <v>360</v>
      </c>
      <c r="H5" s="17" t="s">
        <v>128</v>
      </c>
      <c r="I5" s="17" t="s">
        <v>361</v>
      </c>
      <c r="J5" s="17" t="s">
        <v>362</v>
      </c>
      <c r="K5" s="17" t="s">
        <v>363</v>
      </c>
    </row>
    <row r="6">
      <c r="A6" s="17" t="s">
        <v>238</v>
      </c>
      <c r="B6" s="15">
        <v>9.0</v>
      </c>
      <c r="C6" s="17" t="s">
        <v>364</v>
      </c>
      <c r="D6" s="17" t="s">
        <v>365</v>
      </c>
      <c r="E6" s="17" t="s">
        <v>366</v>
      </c>
      <c r="F6" s="17" t="s">
        <v>367</v>
      </c>
      <c r="G6" s="17" t="s">
        <v>368</v>
      </c>
      <c r="H6" s="15" t="s">
        <v>239</v>
      </c>
      <c r="I6" s="17" t="s">
        <v>369</v>
      </c>
      <c r="J6" s="17" t="s">
        <v>370</v>
      </c>
      <c r="K6" s="17" t="s">
        <v>371</v>
      </c>
    </row>
    <row r="7">
      <c r="A7" s="17" t="s">
        <v>222</v>
      </c>
      <c r="B7" s="15">
        <v>8.0</v>
      </c>
      <c r="C7" s="17" t="s">
        <v>372</v>
      </c>
      <c r="D7" s="17" t="s">
        <v>373</v>
      </c>
      <c r="E7" s="17" t="s">
        <v>374</v>
      </c>
      <c r="F7" s="17" t="s">
        <v>375</v>
      </c>
      <c r="G7" s="17" t="s">
        <v>376</v>
      </c>
      <c r="H7" s="15" t="s">
        <v>221</v>
      </c>
      <c r="I7" s="17" t="s">
        <v>377</v>
      </c>
      <c r="J7" s="17" t="s">
        <v>378</v>
      </c>
      <c r="K7" s="17" t="s">
        <v>379</v>
      </c>
    </row>
    <row r="8">
      <c r="A8" s="17" t="s">
        <v>250</v>
      </c>
      <c r="B8" s="15">
        <v>10.0</v>
      </c>
      <c r="C8" s="17" t="s">
        <v>380</v>
      </c>
      <c r="D8" s="17" t="s">
        <v>381</v>
      </c>
      <c r="E8" s="17" t="s">
        <v>382</v>
      </c>
      <c r="F8" s="17" t="s">
        <v>383</v>
      </c>
      <c r="G8" s="17" t="s">
        <v>384</v>
      </c>
      <c r="H8" s="15" t="s">
        <v>256</v>
      </c>
      <c r="I8" s="17" t="s">
        <v>386</v>
      </c>
      <c r="J8" s="17" t="s">
        <v>387</v>
      </c>
      <c r="K8" s="17" t="s">
        <v>388</v>
      </c>
    </row>
    <row r="9">
      <c r="A9" s="17" t="s">
        <v>265</v>
      </c>
      <c r="B9" s="17">
        <v>11.0</v>
      </c>
      <c r="C9" s="17" t="s">
        <v>389</v>
      </c>
      <c r="D9" s="17" t="s">
        <v>390</v>
      </c>
      <c r="E9" s="17" t="s">
        <v>391</v>
      </c>
      <c r="F9" s="17" t="s">
        <v>392</v>
      </c>
      <c r="G9" s="17" t="s">
        <v>393</v>
      </c>
      <c r="H9" s="17" t="s">
        <v>270</v>
      </c>
      <c r="I9" s="17" t="s">
        <v>394</v>
      </c>
      <c r="J9" s="17" t="s">
        <v>395</v>
      </c>
      <c r="K9" s="17" t="s">
        <v>396</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2:E2"/>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26.0"/>
    <col customWidth="1" min="3" max="4" width="44.0"/>
    <col customWidth="1" min="5" max="5" width="16.0"/>
    <col customWidth="1" min="6" max="26" width="8.71"/>
  </cols>
  <sheetData>
    <row r="1">
      <c r="A1" s="1" t="s">
        <v>385</v>
      </c>
      <c r="B1" s="2"/>
      <c r="C1" s="2"/>
      <c r="D1" s="2"/>
      <c r="E1" s="2"/>
    </row>
    <row r="2" ht="42.0" customHeight="1">
      <c r="A2" s="4" t="s">
        <v>397</v>
      </c>
    </row>
    <row r="3">
      <c r="A3" s="2"/>
      <c r="B3" s="2"/>
      <c r="C3" s="2"/>
      <c r="D3" s="2"/>
      <c r="E3" s="2"/>
    </row>
    <row r="4">
      <c r="A4" s="9" t="s">
        <v>399</v>
      </c>
      <c r="B4" s="9" t="s">
        <v>400</v>
      </c>
      <c r="C4" s="9" t="s">
        <v>32</v>
      </c>
      <c r="D4" s="9" t="s">
        <v>401</v>
      </c>
      <c r="E4" s="9" t="s">
        <v>402</v>
      </c>
    </row>
    <row r="5">
      <c r="A5" s="17" t="s">
        <v>404</v>
      </c>
      <c r="B5" s="17" t="s">
        <v>405</v>
      </c>
      <c r="C5" s="17" t="s">
        <v>407</v>
      </c>
      <c r="D5" s="17" t="s">
        <v>408</v>
      </c>
      <c r="E5" s="17" t="s">
        <v>409</v>
      </c>
    </row>
    <row r="6">
      <c r="A6" s="17" t="s">
        <v>410</v>
      </c>
      <c r="B6" s="17" t="s">
        <v>412</v>
      </c>
      <c r="C6" s="17" t="s">
        <v>413</v>
      </c>
      <c r="D6" s="17" t="s">
        <v>415</v>
      </c>
      <c r="E6" s="17" t="s">
        <v>409</v>
      </c>
    </row>
    <row r="7">
      <c r="A7" s="17" t="s">
        <v>417</v>
      </c>
      <c r="B7" s="17" t="s">
        <v>419</v>
      </c>
      <c r="C7" s="17" t="s">
        <v>421</v>
      </c>
      <c r="D7" s="17" t="s">
        <v>422</v>
      </c>
      <c r="E7" s="17" t="s">
        <v>424</v>
      </c>
    </row>
    <row r="8">
      <c r="A8" s="17" t="s">
        <v>24</v>
      </c>
      <c r="B8" s="17" t="s">
        <v>419</v>
      </c>
      <c r="C8" s="17" t="s">
        <v>428</v>
      </c>
      <c r="D8" s="17" t="s">
        <v>430</v>
      </c>
      <c r="E8" s="17" t="s">
        <v>424</v>
      </c>
    </row>
    <row r="9">
      <c r="A9" s="17" t="s">
        <v>433</v>
      </c>
      <c r="B9" s="17" t="s">
        <v>436</v>
      </c>
      <c r="C9" s="17" t="s">
        <v>438</v>
      </c>
      <c r="D9" s="17" t="s">
        <v>439</v>
      </c>
      <c r="E9" s="17" t="s">
        <v>424</v>
      </c>
    </row>
    <row r="10">
      <c r="A10" s="17" t="s">
        <v>442</v>
      </c>
      <c r="B10" s="17" t="s">
        <v>443</v>
      </c>
      <c r="C10" s="17" t="s">
        <v>444</v>
      </c>
      <c r="D10" s="17" t="s">
        <v>447</v>
      </c>
      <c r="E10" s="17" t="s">
        <v>409</v>
      </c>
    </row>
    <row r="11">
      <c r="A11" s="17" t="s">
        <v>450</v>
      </c>
      <c r="B11" s="17" t="s">
        <v>452</v>
      </c>
      <c r="C11" s="17" t="s">
        <v>454</v>
      </c>
      <c r="D11" s="17" t="s">
        <v>456</v>
      </c>
      <c r="E11" s="17" t="s">
        <v>409</v>
      </c>
    </row>
    <row r="12">
      <c r="A12" s="17" t="s">
        <v>459</v>
      </c>
      <c r="B12" s="17" t="s">
        <v>461</v>
      </c>
      <c r="C12" s="17" t="s">
        <v>463</v>
      </c>
      <c r="D12" s="17" t="s">
        <v>465</v>
      </c>
      <c r="E12" s="17" t="s">
        <v>469</v>
      </c>
    </row>
    <row r="13">
      <c r="A13" s="17" t="s">
        <v>472</v>
      </c>
      <c r="B13" s="17" t="s">
        <v>474</v>
      </c>
      <c r="C13" s="17" t="s">
        <v>476</v>
      </c>
      <c r="D13" s="17" t="s">
        <v>477</v>
      </c>
      <c r="E13" s="17" t="s">
        <v>424</v>
      </c>
    </row>
    <row r="14">
      <c r="A14" s="17" t="s">
        <v>478</v>
      </c>
      <c r="B14" s="17" t="s">
        <v>474</v>
      </c>
      <c r="C14" s="17" t="s">
        <v>480</v>
      </c>
      <c r="D14" s="17" t="s">
        <v>482</v>
      </c>
      <c r="E14" s="17" t="s">
        <v>409</v>
      </c>
    </row>
    <row r="15">
      <c r="A15" s="2"/>
      <c r="B15" s="2"/>
      <c r="C15" s="2"/>
      <c r="D15" s="2"/>
      <c r="E15" s="2"/>
    </row>
    <row r="16">
      <c r="A16" s="21" t="s">
        <v>488</v>
      </c>
      <c r="B16" s="2"/>
      <c r="C16" s="2"/>
      <c r="D16" s="2"/>
      <c r="E16" s="2"/>
    </row>
    <row r="17">
      <c r="A17" s="9" t="s">
        <v>484</v>
      </c>
      <c r="B17" s="9" t="s">
        <v>494</v>
      </c>
      <c r="C17" s="9" t="s">
        <v>53</v>
      </c>
      <c r="D17" s="9" t="s">
        <v>497</v>
      </c>
      <c r="E17" s="9"/>
    </row>
    <row r="18">
      <c r="A18" s="14" t="s">
        <v>500</v>
      </c>
      <c r="B18" s="14" t="s">
        <v>502</v>
      </c>
      <c r="C18" s="14">
        <v>20.0</v>
      </c>
      <c r="D18" s="14" t="s">
        <v>506</v>
      </c>
      <c r="E18" s="14"/>
    </row>
    <row r="19">
      <c r="A19" s="14" t="s">
        <v>508</v>
      </c>
      <c r="B19" s="14" t="s">
        <v>510</v>
      </c>
      <c r="C19" s="14">
        <v>25.0</v>
      </c>
      <c r="D19" s="14" t="s">
        <v>513</v>
      </c>
      <c r="E19" s="14"/>
    </row>
    <row r="20" ht="15.75" customHeight="1">
      <c r="A20" s="14" t="s">
        <v>515</v>
      </c>
      <c r="B20" s="14" t="s">
        <v>517</v>
      </c>
      <c r="C20" s="14">
        <v>15.0</v>
      </c>
      <c r="D20" s="14" t="s">
        <v>520</v>
      </c>
      <c r="E20" s="14"/>
    </row>
    <row r="21" ht="15.75" customHeight="1">
      <c r="A21" s="14" t="s">
        <v>523</v>
      </c>
      <c r="B21" s="14" t="s">
        <v>525</v>
      </c>
      <c r="C21" s="14">
        <v>15.0</v>
      </c>
      <c r="D21" s="14" t="s">
        <v>527</v>
      </c>
      <c r="E21" s="14"/>
    </row>
    <row r="22" ht="15.75" customHeight="1">
      <c r="A22" s="14" t="s">
        <v>529</v>
      </c>
      <c r="B22" s="14" t="s">
        <v>532</v>
      </c>
      <c r="C22" s="14">
        <v>10.0</v>
      </c>
      <c r="D22" s="14" t="s">
        <v>535</v>
      </c>
      <c r="E22" s="14"/>
    </row>
    <row r="23" ht="15.75" customHeight="1">
      <c r="A23" s="14" t="s">
        <v>538</v>
      </c>
      <c r="B23" s="14" t="s">
        <v>540</v>
      </c>
      <c r="C23" s="14">
        <v>15.0</v>
      </c>
      <c r="D23" s="14" t="s">
        <v>543</v>
      </c>
      <c r="E23" s="14"/>
    </row>
    <row r="24" ht="15.75" customHeight="1">
      <c r="A24" s="18"/>
      <c r="B24" s="18" t="s">
        <v>77</v>
      </c>
      <c r="C24" s="18">
        <f>SUM(C18:C23)</f>
        <v>100</v>
      </c>
      <c r="D24" s="18"/>
      <c r="E24" s="18"/>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1">
    <mergeCell ref="A2:E2"/>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0"/>
    <col customWidth="1" min="2" max="2" width="60.0"/>
    <col customWidth="1" min="3" max="3" width="78.0"/>
    <col customWidth="1" min="4" max="4" width="22.0"/>
    <col customWidth="1" min="5" max="26" width="8.71"/>
  </cols>
  <sheetData>
    <row r="1">
      <c r="A1" s="1" t="s">
        <v>398</v>
      </c>
      <c r="B1" s="2"/>
      <c r="C1" s="2"/>
      <c r="D1" s="2"/>
      <c r="E1" s="2"/>
    </row>
    <row r="2" ht="42.0" customHeight="1">
      <c r="A2" s="4" t="s">
        <v>403</v>
      </c>
    </row>
    <row r="3">
      <c r="A3" s="2"/>
      <c r="B3" s="2"/>
      <c r="C3" s="2"/>
      <c r="D3" s="2"/>
      <c r="E3" s="2"/>
    </row>
    <row r="4">
      <c r="A4" s="9" t="s">
        <v>16</v>
      </c>
      <c r="B4" s="9" t="s">
        <v>411</v>
      </c>
      <c r="C4" s="9" t="s">
        <v>354</v>
      </c>
      <c r="D4" s="9" t="s">
        <v>414</v>
      </c>
      <c r="E4" s="2"/>
    </row>
    <row r="5">
      <c r="A5" s="17" t="s">
        <v>39</v>
      </c>
      <c r="B5" s="17" t="s">
        <v>418</v>
      </c>
      <c r="C5" s="17" t="s">
        <v>420</v>
      </c>
      <c r="D5" s="17" t="s">
        <v>277</v>
      </c>
      <c r="E5" s="2"/>
    </row>
    <row r="6">
      <c r="A6" s="17" t="s">
        <v>73</v>
      </c>
      <c r="B6" s="17" t="s">
        <v>423</v>
      </c>
      <c r="C6" s="17" t="s">
        <v>425</v>
      </c>
      <c r="D6" s="17" t="s">
        <v>277</v>
      </c>
      <c r="E6" s="2"/>
    </row>
    <row r="7">
      <c r="A7" s="17" t="s">
        <v>73</v>
      </c>
      <c r="B7" s="17" t="s">
        <v>427</v>
      </c>
      <c r="C7" s="17" t="s">
        <v>429</v>
      </c>
      <c r="D7" s="17" t="s">
        <v>277</v>
      </c>
      <c r="E7" s="2"/>
    </row>
    <row r="8">
      <c r="A8" s="17" t="s">
        <v>110</v>
      </c>
      <c r="B8" s="17" t="s">
        <v>435</v>
      </c>
      <c r="C8" s="17" t="s">
        <v>437</v>
      </c>
      <c r="D8" s="17" t="s">
        <v>277</v>
      </c>
      <c r="E8" s="2"/>
    </row>
    <row r="9">
      <c r="A9" s="17" t="s">
        <v>110</v>
      </c>
      <c r="B9" s="17" t="s">
        <v>440</v>
      </c>
      <c r="C9" s="17" t="s">
        <v>441</v>
      </c>
      <c r="D9" s="17" t="s">
        <v>277</v>
      </c>
      <c r="E9" s="2"/>
    </row>
    <row r="10">
      <c r="A10" s="17" t="s">
        <v>156</v>
      </c>
      <c r="B10" s="17" t="s">
        <v>445</v>
      </c>
      <c r="C10" s="17" t="s">
        <v>446</v>
      </c>
      <c r="D10" s="17" t="s">
        <v>277</v>
      </c>
      <c r="E10" s="2"/>
    </row>
    <row r="11">
      <c r="A11" s="15" t="s">
        <v>194</v>
      </c>
      <c r="B11" s="15" t="s">
        <v>453</v>
      </c>
      <c r="C11" s="34" t="s">
        <v>457</v>
      </c>
      <c r="D11" s="15" t="s">
        <v>277</v>
      </c>
      <c r="E11" s="2"/>
    </row>
    <row r="12">
      <c r="A12" s="15" t="s">
        <v>194</v>
      </c>
      <c r="B12" s="15" t="s">
        <v>490</v>
      </c>
      <c r="C12" s="34" t="s">
        <v>492</v>
      </c>
      <c r="D12" s="15" t="s">
        <v>277</v>
      </c>
      <c r="E12" s="2"/>
    </row>
    <row r="13">
      <c r="A13" s="15" t="s">
        <v>226</v>
      </c>
      <c r="B13" s="15" t="s">
        <v>530</v>
      </c>
      <c r="C13" s="34" t="s">
        <v>534</v>
      </c>
      <c r="D13" s="15" t="s">
        <v>277</v>
      </c>
      <c r="E13" s="2"/>
    </row>
    <row r="14">
      <c r="A14" s="17" t="s">
        <v>255</v>
      </c>
      <c r="B14" s="17" t="s">
        <v>559</v>
      </c>
      <c r="C14" s="17" t="s">
        <v>560</v>
      </c>
      <c r="D14" s="17" t="s">
        <v>277</v>
      </c>
      <c r="E14" s="2"/>
    </row>
    <row r="15">
      <c r="A15" s="17" t="s">
        <v>255</v>
      </c>
      <c r="B15" s="17" t="s">
        <v>561</v>
      </c>
      <c r="C15" s="17" t="s">
        <v>562</v>
      </c>
      <c r="D15" s="17" t="s">
        <v>277</v>
      </c>
      <c r="E15" s="2"/>
    </row>
    <row r="16">
      <c r="A16" s="15" t="s">
        <v>226</v>
      </c>
      <c r="B16" s="15" t="s">
        <v>563</v>
      </c>
      <c r="C16" s="34" t="s">
        <v>564</v>
      </c>
      <c r="D16" s="15" t="s">
        <v>277</v>
      </c>
      <c r="E16" s="2"/>
    </row>
    <row r="17">
      <c r="A17" s="36" t="s">
        <v>156</v>
      </c>
      <c r="B17" s="36" t="s">
        <v>565</v>
      </c>
      <c r="C17" s="37" t="s">
        <v>566</v>
      </c>
      <c r="D17" s="36" t="s">
        <v>277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E2"/>
  </mergeCells>
  <hyperlinks>
    <hyperlink r:id="rId1" ref="C11"/>
    <hyperlink r:id="rId2" ref="C12"/>
    <hyperlink r:id="rId3" ref="C13"/>
    <hyperlink r:id="rId4" ref="C16"/>
    <hyperlink r:id="rId5" ref="C17"/>
  </hyperlinks>
  <printOptions/>
  <pageMargins bottom="1.0" footer="0.0" header="0.0" left="0.75" right="0.75" top="1.0"/>
  <pageSetup paperSize="9" orientation="portrait"/>
  <drawing r:id="rId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0"/>
    <col customWidth="1" min="2" max="2" width="32.0"/>
    <col customWidth="1" min="3" max="3" width="60.0"/>
    <col customWidth="1" min="4" max="4" width="30.0"/>
    <col customWidth="1" min="5" max="25" width="8.71"/>
  </cols>
  <sheetData>
    <row r="1">
      <c r="A1" s="1" t="s">
        <v>406</v>
      </c>
      <c r="B1" s="2"/>
      <c r="C1" s="2"/>
      <c r="D1" s="2"/>
    </row>
    <row r="2" ht="42.0" customHeight="1">
      <c r="A2" s="10" t="s">
        <v>416</v>
      </c>
    </row>
    <row r="3">
      <c r="A3" s="2"/>
      <c r="B3" s="2"/>
      <c r="C3" s="2"/>
      <c r="D3" s="2"/>
    </row>
    <row r="4">
      <c r="A4" s="9" t="s">
        <v>426</v>
      </c>
      <c r="B4" s="9" t="s">
        <v>431</v>
      </c>
      <c r="C4" s="9" t="s">
        <v>432</v>
      </c>
      <c r="D4" s="9" t="s">
        <v>434</v>
      </c>
    </row>
    <row r="5">
      <c r="A5" s="32" t="s">
        <v>61</v>
      </c>
      <c r="B5" s="32" t="s">
        <v>448</v>
      </c>
      <c r="C5" s="32" t="s">
        <v>449</v>
      </c>
      <c r="D5" s="32" t="s">
        <v>451</v>
      </c>
    </row>
    <row r="6">
      <c r="A6" s="14" t="s">
        <v>455</v>
      </c>
      <c r="B6" s="14" t="s">
        <v>458</v>
      </c>
      <c r="C6" s="14" t="s">
        <v>460</v>
      </c>
      <c r="D6" s="14" t="s">
        <v>462</v>
      </c>
    </row>
    <row r="7">
      <c r="A7" s="14" t="s">
        <v>464</v>
      </c>
      <c r="B7" s="14" t="s">
        <v>466</v>
      </c>
      <c r="C7" s="14" t="s">
        <v>467</v>
      </c>
      <c r="D7" s="14" t="s">
        <v>468</v>
      </c>
    </row>
    <row r="8">
      <c r="A8" s="14" t="s">
        <v>470</v>
      </c>
      <c r="B8" s="14" t="s">
        <v>471</v>
      </c>
      <c r="C8" s="14" t="s">
        <v>473</v>
      </c>
      <c r="D8" s="14" t="s">
        <v>475</v>
      </c>
    </row>
    <row r="9">
      <c r="A9" s="33" t="s">
        <v>186</v>
      </c>
      <c r="B9" s="33" t="s">
        <v>479</v>
      </c>
      <c r="C9" s="33" t="s">
        <v>481</v>
      </c>
      <c r="D9" s="33" t="s">
        <v>483</v>
      </c>
    </row>
    <row r="10">
      <c r="A10" s="9" t="s">
        <v>484</v>
      </c>
      <c r="B10" s="9" t="s">
        <v>485</v>
      </c>
      <c r="C10" s="9" t="s">
        <v>486</v>
      </c>
      <c r="D10" s="9" t="s">
        <v>487</v>
      </c>
    </row>
    <row r="11">
      <c r="A11" s="17" t="s">
        <v>489</v>
      </c>
      <c r="B11" s="17" t="s">
        <v>491</v>
      </c>
      <c r="C11" s="17" t="s">
        <v>493</v>
      </c>
      <c r="D11" s="17" t="s">
        <v>495</v>
      </c>
    </row>
    <row r="12">
      <c r="A12" s="17" t="s">
        <v>496</v>
      </c>
      <c r="B12" s="15" t="s">
        <v>498</v>
      </c>
      <c r="C12" s="15" t="s">
        <v>499</v>
      </c>
      <c r="D12" s="15" t="s">
        <v>501</v>
      </c>
    </row>
    <row r="13">
      <c r="A13" s="17" t="s">
        <v>503</v>
      </c>
      <c r="B13" s="17" t="s">
        <v>504</v>
      </c>
      <c r="C13" s="17" t="s">
        <v>505</v>
      </c>
      <c r="D13" s="17" t="s">
        <v>507</v>
      </c>
    </row>
    <row r="14">
      <c r="A14" s="17" t="s">
        <v>509</v>
      </c>
      <c r="B14" s="17" t="s">
        <v>511</v>
      </c>
      <c r="C14" s="17" t="s">
        <v>512</v>
      </c>
      <c r="D14" s="17" t="s">
        <v>514</v>
      </c>
    </row>
    <row r="15">
      <c r="A15" s="17" t="s">
        <v>516</v>
      </c>
      <c r="B15" s="17" t="s">
        <v>518</v>
      </c>
      <c r="C15" s="17" t="s">
        <v>519</v>
      </c>
      <c r="D15" s="17" t="s">
        <v>521</v>
      </c>
    </row>
    <row r="16">
      <c r="A16" s="17" t="s">
        <v>522</v>
      </c>
      <c r="B16" s="15" t="s">
        <v>524</v>
      </c>
      <c r="C16" s="15" t="s">
        <v>526</v>
      </c>
      <c r="D16" s="15" t="s">
        <v>528</v>
      </c>
    </row>
    <row r="17">
      <c r="A17" s="17" t="s">
        <v>531</v>
      </c>
      <c r="B17" s="15" t="s">
        <v>533</v>
      </c>
      <c r="C17" s="15" t="s">
        <v>536</v>
      </c>
      <c r="D17" s="15" t="s">
        <v>537</v>
      </c>
    </row>
    <row r="18">
      <c r="A18" s="17" t="s">
        <v>539</v>
      </c>
      <c r="B18" s="15" t="s">
        <v>541</v>
      </c>
      <c r="C18" s="15" t="s">
        <v>542</v>
      </c>
      <c r="D18" s="15" t="s">
        <v>544</v>
      </c>
    </row>
    <row r="19">
      <c r="A19" s="17" t="s">
        <v>545</v>
      </c>
      <c r="B19" s="17" t="s">
        <v>546</v>
      </c>
      <c r="C19" s="17" t="s">
        <v>547</v>
      </c>
      <c r="D19" s="17" t="s">
        <v>548</v>
      </c>
    </row>
    <row r="20">
      <c r="A20" s="17" t="s">
        <v>549</v>
      </c>
      <c r="B20" s="15" t="s">
        <v>550</v>
      </c>
      <c r="C20" s="15" t="s">
        <v>551</v>
      </c>
      <c r="D20" s="15" t="s">
        <v>552</v>
      </c>
    </row>
    <row r="21" ht="15.75" customHeight="1">
      <c r="A21" s="17" t="s">
        <v>553</v>
      </c>
      <c r="B21" s="17" t="s">
        <v>524</v>
      </c>
      <c r="C21" s="17" t="s">
        <v>554</v>
      </c>
      <c r="D21" s="17" t="s">
        <v>555</v>
      </c>
    </row>
    <row r="22" ht="15.75" customHeight="1">
      <c r="A22" s="19" t="s">
        <v>556</v>
      </c>
      <c r="B22" s="19" t="s">
        <v>557</v>
      </c>
      <c r="C22" s="19" t="s">
        <v>558</v>
      </c>
      <c r="D22" s="35"/>
    </row>
    <row r="23" ht="15.75" customHeight="1">
      <c r="A23" s="35"/>
      <c r="B23" s="35"/>
      <c r="C23" s="35"/>
      <c r="D23" s="35"/>
    </row>
    <row r="24" ht="15.75" customHeight="1">
      <c r="A24" s="35"/>
      <c r="B24" s="35"/>
      <c r="C24" s="35"/>
      <c r="D24" s="35"/>
    </row>
    <row r="25" ht="15.75" customHeight="1">
      <c r="A25" s="35"/>
      <c r="B25" s="35"/>
      <c r="C25" s="35"/>
      <c r="D25" s="35"/>
    </row>
    <row r="26" ht="15.75" customHeight="1">
      <c r="A26" s="35"/>
      <c r="B26" s="35"/>
      <c r="C26" s="35"/>
      <c r="D26" s="35"/>
    </row>
    <row r="27" ht="15.75" customHeight="1">
      <c r="A27" s="35"/>
      <c r="B27" s="35"/>
      <c r="C27" s="35"/>
      <c r="D27" s="35"/>
    </row>
    <row r="28" ht="15.75" customHeight="1">
      <c r="A28" s="35"/>
      <c r="B28" s="35"/>
      <c r="C28" s="35"/>
      <c r="D28" s="35"/>
    </row>
    <row r="29" ht="15.75" customHeight="1">
      <c r="A29" s="35"/>
      <c r="B29" s="35"/>
      <c r="C29" s="35"/>
      <c r="D29" s="35"/>
    </row>
    <row r="30" ht="15.75" customHeight="1">
      <c r="A30" s="35"/>
      <c r="B30" s="35"/>
      <c r="C30" s="35"/>
      <c r="D30" s="35"/>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D2"/>
  </mergeCells>
  <printOptions/>
  <pageMargins bottom="1.0" footer="0.0" header="0.0" left="0.75" right="0.75" top="1.0"/>
  <pageSetup paperSize="9" orientation="portrait"/>
  <drawing r:id="rId1"/>
</worksheet>
</file>